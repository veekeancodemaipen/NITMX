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c6649cbb1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9dd5374b37a4da6"/>
    <x:sheet xmlns:r="http://schemas.openxmlformats.org/officeDocument/2006/relationships" name="Inputs" sheetId="2" r:id="Rab2cc8c68ed940fb"/>
    <x:sheet xmlns:r="http://schemas.openxmlformats.org/officeDocument/2006/relationships" name="Model" sheetId="3" r:id="Ra7c0e478708e45d7"/>
    <x:sheet xmlns:r="http://schemas.openxmlformats.org/officeDocument/2006/relationships" name="Buyers" sheetId="4" r:id="R9243ac7441d94837"/>
    <x:sheet xmlns:r="http://schemas.openxmlformats.org/officeDocument/2006/relationships" name="Sources" sheetId="5" r:id="R37497bf6db4e4b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–"/>
    <x:numFmt numFmtId="201" formatCode="0.0%;(0.0%);–"/>
    <x:numFmt numFmtId="202" formatCode="#,##0;(#,##0);–"/>
    <x:numFmt numFmtId="203" formatCode="0"/>
    <x:numFmt numFmtId="204" formatCode="0.00&quot;x&quot;"/>
  </x:numFmts>
  <x:fonts count="16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color rgb="FF1965B0"/>
      <x:name val="Arial"/>
    </x:font>
    <x:font>
      <x:sz val="10"/>
      <x:color rgb="FF000000"/>
      <x:name val="Arial"/>
    </x:font>
    <x:font>
      <x:sz val="10"/>
      <x:color rgb="FF247447"/>
      <x:name val="Arial"/>
    </x:font>
    <x:font>
      <x:i/>
      <x:sz val="10"/>
      <x:name val="Arial"/>
    </x:font>
    <x:font>
      <x:i/>
      <x:sz val="10"/>
      <x:color rgb="FF000000"/>
      <x:name val="Arial"/>
    </x:font>
    <x:font>
      <x:i/>
      <x:sz val="10"/>
      <x:color rgb="FF1965B0"/>
      <x:name val="Arial"/>
    </x:font>
    <x:font>
      <x:b/>
      <x:sz val="10"/>
      <x:color rgb="FF247447"/>
      <x:name val="Arial"/>
    </x:font>
    <x:font>
      <x:b/>
      <x:sz val="10"/>
      <x:color rgb="FF000000"/>
      <x:name val="Arial"/>
    </x:font>
    <x:font>
      <x:sz val="10"/>
      <x:color rgb="FF20323F"/>
      <x:name val="Arial"/>
    </x:font>
    <x:font>
      <x:i/>
      <x:sz val="10"/>
      <x:color rgb="FF2474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54A"/>
      </x:patternFill>
    </x:fill>
    <x:fill>
      <x:patternFill patternType="solid">
        <x:fgColor rgb="FFEDF2F5"/>
      </x:patternFill>
    </x:fill>
    <x:fill>
      <x:patternFill patternType="solid">
        <x:fgColor rgb="FFFFF1CC"/>
      </x:patternFill>
    </x:fill>
  </x:fills>
  <x:borders count="1">
    <x:border/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201" fontId="11" fillId="4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0" fontId="8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12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200" fontId="13" fillId="3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2" fontId="14" fillId="0" borderId="0" xfId="0" applyNumberFormat="1" applyFont="1" applyFill="1" applyBorder="1" applyAlignment="1">
      <x:alignment vertical="center"/>
    </x:xf>
    <x:xf numFmtId="200" fontId="14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4" fontId="14" fillId="0" borderId="0" xfId="0" applyNumberFormat="1" applyFont="1" applyFill="1" applyBorder="1" applyAlignment="1">
      <x:alignment vertical="center"/>
    </x:xf>
    <x:xf numFmtId="201" fontId="1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23ab5e1204bcd" /><Relationship Type="http://schemas.openxmlformats.org/officeDocument/2006/relationships/theme" Target="/xl/theme/theme1.xml" Id="Rfaab88431eb740a7" /><Relationship Type="http://schemas.openxmlformats.org/officeDocument/2006/relationships/sharedStrings" Target="/xl/sharedStrings.xml" Id="Rab8e73b7c8d243d0" /><Relationship Type="http://schemas.openxmlformats.org/officeDocument/2006/relationships/worksheet" Target="/xl/worksheets/sheet1.xml" Id="Re9dd5374b37a4da6" /><Relationship Type="http://schemas.openxmlformats.org/officeDocument/2006/relationships/worksheet" Target="/xl/worksheets/sheet2.xml" Id="Rab2cc8c68ed940fb" /><Relationship Type="http://schemas.openxmlformats.org/officeDocument/2006/relationships/worksheet" Target="/xl/worksheets/sheet3.xml" Id="Ra7c0e478708e45d7" /><Relationship Type="http://schemas.openxmlformats.org/officeDocument/2006/relationships/worksheet" Target="/xl/worksheets/sheet4.xml" Id="R9243ac7441d94837" /><Relationship Type="http://schemas.openxmlformats.org/officeDocument/2006/relationships/worksheet" Target="/xl/worksheets/sheet5.xml" Id="R37497bf6db4e4b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5" hidden="0" customWidth="1"/>
    <x:col min="4" max="4" width="12" hidden="0" customWidth="1"/>
    <x:col min="5" max="5" width="12" hidden="0" customWidth="1"/>
    <x:col min="6" max="6" width="20" hidden="0" customWidth="1"/>
    <x:col min="7" max="7" width="20" hidden="0" customWidth="1"/>
    <x:col min="8" max="8" width="20" hidden="0" customWidth="1"/>
    <x:col min="9" max="9" width="16" hidden="0" customWidth="1"/>
    <x:col min="10" max="10" width="20" hidden="0" customWidth="1"/>
  </x:cols>
  <x:sheetData>
    <x:row r="1" ht="23" customHeight="1">
      <x:c r="A1" s="3"/>
      <x:c r="B1" s="3"/>
      <x:c r="C1" s="6" t="str">
        <x:v>บัญชีม้า: แบบจำลองโอกาสธุรกิจ</x:v>
      </x:c>
      <x:c r="D1" s="6"/>
      <x:c r="E1" s="6"/>
      <x:c r="F1" s="6"/>
      <x:c r="G1" s="6"/>
      <x:c r="H1" s="6"/>
      <x:c r="I1" s="6"/>
      <x:c r="J1" s="6"/>
    </x:row>
    <x:row r="2" ht="23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23" customHeight="1">
      <x:c r="A3" s="3"/>
      <x:c r="B3" s="3"/>
      <x:c r="C3" s="3" t="str">
        <x:v>ข้อมูลสาธารณะถึง 25 ก.ย. 2569</x:v>
      </x:c>
      <x:c r="D3" s="3"/>
      <x:c r="E3" s="3"/>
      <x:c r="F3" s="3"/>
      <x:c r="G3" s="3"/>
      <x:c r="H3" s="3"/>
      <x:c r="I3" s="3"/>
      <x:c r="J3" s="3"/>
    </x:row>
    <x:row r="4" ht="23" customHeight="1">
      <x:c r="A4" s="3"/>
      <x:c r="B4" s="3"/>
      <x:c r="C4" s="3" t="str">
        <x:v>กรณีที่เลือก</x:v>
      </x:c>
      <x:c r="D4" s="3"/>
      <x:c r="E4" s="3"/>
      <x:c r="F4" s="13" t="str">
        <x:f>Inputs!F4</x:f>
        <x:v>ฐาน</x:v>
      </x:c>
      <x:c r="G4" s="3" t="str">
        <x:v>เปลี่ยน Inputs E4</x:v>
      </x:c>
      <x:c r="H4" s="3"/>
      <x:c r="I4" s="3"/>
      <x:c r="J4" s="3"/>
    </x:row>
    <x:row r="5" ht="23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23" customHeight="1">
      <x:c r="A6" s="3"/>
      <x:c r="B6" s="3"/>
      <x:c r="C6" s="3" t="str">
        <x:v>หน่วย: THB ต่อปี / รายได้ประจำปลายปี 2029</x:v>
      </x:c>
      <x:c r="D6" s="3"/>
      <x:c r="E6" s="3"/>
      <x:c r="F6" s="3"/>
      <x:c r="G6" s="3"/>
      <x:c r="H6" s="3"/>
      <x:c r="I6" s="3"/>
      <x:c r="J6" s="3"/>
    </x:row>
    <x:row r="7" ht="23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</x:row>
    <x:row r="8" ht="23" customHeight="1">
      <x:c r="A8" s="3"/>
      <x:c r="B8" s="3"/>
      <x:c r="C8" s="8" t="str">
        <x:v>โอกาส</x:v>
      </x:c>
      <x:c r="D8" s="8" t="str">
        <x:v>TAM ราย</x:v>
      </x:c>
      <x:c r="E8" s="8" t="str">
        <x:v>SAM ราย</x:v>
      </x:c>
      <x:c r="F8" s="8" t="str">
        <x:v>ราคา/ปี</x:v>
      </x:c>
      <x:c r="G8" s="8" t="str">
        <x:v>TAM/ปี</x:v>
      </x:c>
      <x:c r="H8" s="8" t="str">
        <x:v>SAM/ปี</x:v>
      </x:c>
      <x:c r="I8" s="8" t="str">
        <x:v>ลูกค้าปี 3</x:v>
      </x:c>
      <x:c r="J8" s="8" t="str">
        <x:v>ARR ปี 3</x:v>
      </x:c>
    </x:row>
    <x:row r="9" ht="45" customHeight="1">
      <x:c r="A9" s="3"/>
      <x:c r="B9" s="3"/>
      <x:c r="C9" s="11" t="str">
        <x:v>A เตรียมหลักฐานทบทวนบัญชี</x:v>
      </x:c>
      <x:c r="D9" s="34" t="n">
        <x:f>Model!F9</x:f>
        <x:v>48</x:v>
      </x:c>
      <x:c r="E9" s="34" t="n">
        <x:f>Model!F12</x:f>
        <x:v>18</x:v>
      </x:c>
      <x:c r="F9" s="35" t="n">
        <x:f>Model!F10</x:f>
        <x:v>1200000</x:v>
      </x:c>
      <x:c r="G9" s="35" t="n">
        <x:f>Model!F11</x:f>
        <x:v>57600000</x:v>
      </x:c>
      <x:c r="H9" s="35" t="n">
        <x:f>Model!F13</x:f>
        <x:v>21600000</x:v>
      </x:c>
      <x:c r="I9" s="35" t="n">
        <x:f>Model!H25</x:f>
        <x:v>5.42</x:v>
      </x:c>
      <x:c r="J9" s="35" t="n">
        <x:f>Model!H26</x:f>
        <x:v>6504000</x:v>
      </x:c>
    </x:row>
    <x:row r="10" ht="45" customHeight="1">
      <x:c r="A10" s="3"/>
      <x:c r="B10" s="3"/>
      <x:c r="C10" s="11" t="str">
        <x:v>B คัดกรองประกาศชักชวน</x:v>
      </x:c>
      <x:c r="D10" s="34" t="n">
        <x:f>Model!F39</x:f>
        <x:v>9</x:v>
      </x:c>
      <x:c r="E10" s="34" t="n">
        <x:f>Model!F42</x:f>
        <x:v>5</x:v>
      </x:c>
      <x:c r="F10" s="35" t="n">
        <x:f>Model!F40</x:f>
        <x:v>600000</x:v>
      </x:c>
      <x:c r="G10" s="35" t="n">
        <x:f>Model!F41</x:f>
        <x:v>5400000</x:v>
      </x:c>
      <x:c r="H10" s="35" t="n">
        <x:f>Model!F43</x:f>
        <x:v>3000000</x:v>
      </x:c>
      <x:c r="I10" s="35" t="n">
        <x:f>Model!H55</x:f>
        <x:v>1.5725</x:v>
      </x:c>
      <x:c r="J10" s="35" t="n">
        <x:f>Model!H56</x:f>
        <x:v>943500</x:v>
      </x:c>
    </x:row>
    <x:row r="11" ht="45" customHeight="1">
      <x:c r="A11" s="3"/>
      <x:c r="B11" s="3"/>
      <x:c r="C11" s="11" t="str">
        <x:v>C ช่วยตัดสินใจก่อนส่งมอบบัญชี</x:v>
      </x:c>
      <x:c r="D11" s="34" t="n">
        <x:f>Model!F69</x:f>
        <x:v>48</x:v>
      </x:c>
      <x:c r="E11" s="34" t="n">
        <x:f>Model!F72</x:f>
        <x:v>18</x:v>
      </x:c>
      <x:c r="F11" s="35" t="n">
        <x:f>Model!F70</x:f>
        <x:v>600000</x:v>
      </x:c>
      <x:c r="G11" s="35" t="n">
        <x:f>Model!F71</x:f>
        <x:v>28800000</x:v>
      </x:c>
      <x:c r="H11" s="35" t="n">
        <x:f>Model!F73</x:f>
        <x:v>10800000</x:v>
      </x:c>
      <x:c r="I11" s="35" t="n">
        <x:f>Model!H85</x:f>
        <x:v>2.5725</x:v>
      </x:c>
      <x:c r="J11" s="35" t="n">
        <x:f>Model!H86</x:f>
        <x:v>1543499.9999999998</x:v>
      </x:c>
    </x:row>
    <x:row r="12" ht="23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</x:row>
    <x:row r="13" ht="23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</x:row>
    <x:row r="14" ht="23" customHeight="1">
      <x:c r="A14" s="3"/>
      <x:c r="B14" s="3"/>
      <x:c r="C14" s="3" t="str">
        <x:v>อย่ารวม TAM ทั้งสามทาง: A/C ใช้ผู้ซื้อชุดเดียวกันและเป็นทางเลือกลงทุน</x:v>
      </x:c>
      <x:c r="D14" s="3"/>
      <x:c r="E14" s="3"/>
      <x:c r="F14" s="3"/>
      <x:c r="G14" s="3"/>
      <x:c r="H14" s="3"/>
      <x:c r="I14" s="3"/>
      <x:c r="J14" s="3"/>
    </x:row>
    <x:row r="15" ht="23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</x:row>
    <x:row r="16" ht="23" customHeight="1">
      <x:c r="A16" s="3"/>
      <x:c r="B16" s="3"/>
      <x:c r="C16" s="3" t="str">
        <x:v>TAM เป็นขอบเขตจำลองที่มีรายชื่อ: A/C 48 จากทะเบียน 68; B 9 กลุ่มที่ค้นพบ ยังไม่ใช่ยอดทั้งประเทศ</x:v>
      </x:c>
      <x:c r="D16" s="3"/>
      <x:c r="E16" s="3"/>
      <x:c r="F16" s="3"/>
      <x:c r="G16" s="3"/>
      <x:c r="H16" s="3"/>
      <x:c r="I16" s="3"/>
      <x:c r="J16" s="3"/>
    </x:row>
    <x:row r="17" ht="23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</x:row>
    <x:row r="18" ht="23" customHeight="1">
      <x:c r="A18" s="3"/>
      <x:c r="B18" s="3"/>
      <x:c r="C18" s="3" t="str">
        <x:v>SAM คือกลุ่มที่ตั้งสมมติฐานว่ารองรับได้ ไม่ใช่ลูกค้าที่ตอบรับ; ไม่มีผู้ซื้อรายใดยืนยันงบ</x:v>
      </x:c>
      <x:c r="D18" s="3"/>
      <x:c r="E18" s="3"/>
      <x:c r="F18" s="3"/>
      <x:c r="G18" s="3"/>
      <x:c r="H18" s="3"/>
      <x:c r="I18" s="3"/>
      <x:c r="J18" s="3"/>
    </x:row>
    <x:row r="19" ht="23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</x:row>
    <x:row r="20" ht="23" customHeight="1">
      <x:c r="A20" s="3"/>
      <x:c r="B20" s="3"/>
      <x:c r="C20" s="3" t="str">
        <x:v>แนะนำศึกษาต่อ A แบบมีเงื่อนไข: ต้องเหนือกว่าแบบฟอร์ม/CRM เดิมและคุ้มราคาสำหรับฝ่ายงบ</x:v>
      </x:c>
      <x:c r="D20" s="3"/>
      <x:c r="E20" s="3"/>
      <x:c r="F20" s="3"/>
      <x:c r="G20" s="3"/>
      <x:c r="H20" s="3"/>
      <x:c r="I20" s="3"/>
      <x:c r="J20" s="3"/>
    </x:row>
    <x:row r="21" ht="23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</x:row>
    <x:row r="22" ht="23" customHeight="1">
      <x:c r="A22" s="3"/>
      <x:c r="B22" s="3"/>
      <x:c r="C22" s="3" t="str">
        <x:v>A มูลค่าเวลา / ราคาปี</x:v>
      </x:c>
      <x:c r="D22" s="3"/>
      <x:c r="E22" s="3"/>
      <x:c r="F22" s="37" t="n">
        <x:f>Model!F104</x:f>
        <x:v>0.702</x:v>
      </x:c>
      <x:c r="G22" s="3" t="str">
        <x:v>ต่ำกว่า 1 เท่า = ยังไม่คุ้มจากเวลางาน</x:v>
      </x:c>
      <x:c r="H22" s="3"/>
      <x:c r="I22" s="3"/>
      <x:c r="J22" s="3"/>
    </x:row>
    <x:row r="23" ht="23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</x:row>
    <x:row r="24" ht="23" customHeight="1">
      <x:c r="A24" s="3"/>
      <x:c r="B24" s="3"/>
      <x:c r="C24" s="3" t="str">
        <x:v>A เคส/เดือนขั้นต่ำให้มูลค่าเท่าราคา</x:v>
      </x:c>
      <x:c r="D24" s="3"/>
      <x:c r="E24" s="3"/>
      <x:c r="F24" s="34" t="n">
        <x:f>Model!F105</x:f>
        <x:v>2136.7521367521367</x:v>
      </x:c>
      <x:c r="G24" s="3"/>
      <x:c r="H24" s="3"/>
      <x:c r="I24" s="3"/>
      <x:c r="J24" s="3"/>
    </x:row>
    <x:row r="25" ht="23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</x:row>
    <x:row r="26" ht="23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</x:row>
    <x:row r="27" ht="23" customHeight="1">
      <x:c r="A27" s="3"/>
      <x:c r="B27" s="3"/>
      <x:c r="C27" s="3" t="str">
        <x:v>Inputs: เปลี่ยนราคา/กำลังทีม/การขาย    Model: สูตรและความไว    Buyers: รายชื่อ/เกณฑ์    Sources: หลักฐาน</x:v>
      </x:c>
      <x:c r="D27" s="3"/>
      <x:c r="E27" s="3"/>
      <x:c r="F27" s="3"/>
      <x:c r="G27" s="3"/>
      <x:c r="H27" s="3"/>
      <x:c r="I27" s="3"/>
      <x:c r="J27" s="3"/>
    </x:row>
    <x:row r="28" ht="23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</x:row>
    <x:row r="29" ht="23" customHeight="1">
      <x:c r="A29" s="3"/>
      <x:c r="B29" s="3"/>
      <x:c r="C29" s="3" t="str">
        <x:v>ปี 2027–2029 เป็นสมมติฐานเริ่มขาย รายได้ไม่รวมค่าติดตั้งและภาษี; ต้นทุนรวมงานติดตั้งแล้ว</x:v>
      </x:c>
      <x:c r="D29" s="3"/>
      <x:c r="E29" s="3"/>
      <x:c r="F29" s="3"/>
      <x:c r="G29" s="3"/>
      <x:c r="H29" s="3"/>
      <x:c r="I29" s="3"/>
      <x:c r="J29" s="3"/>
    </x:row>
    <x:row r="30" ht="23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</x:row>
    <x:row r="31" ht="23" customHeight="1">
      <x:c r="A31" s="3"/>
      <x:c r="B31" s="3"/>
      <x:c r="C31" s="3" t="str">
        <x:v>ขนาดตลาดต่างประเทศยังไม่รวม; ใบอนุญาตและยอดความเสียหายไม่ใช่รายได้ตลาด</x:v>
      </x:c>
      <x:c r="D31" s="3"/>
      <x:c r="E31" s="3"/>
      <x:c r="F31" s="3"/>
      <x:c r="G31" s="3"/>
      <x:c r="H31" s="3"/>
      <x:c r="I31" s="3"/>
      <x:c r="J31" s="3"/>
    </x:row>
    <x:row r="32" ht="23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  <x:row r="33" ht="23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</x:row>
    <x:row r="34" ht="23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</x:row>
    <x:row r="35" ht="23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</x:row>
    <x:row r="36" ht="23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</x:row>
    <x:row r="37" ht="23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</x:row>
    <x:row r="38" ht="23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5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65" hidden="0" customWidth="1"/>
    <x:col min="10" max="10" width="30" hidden="0" customWidth="1"/>
  </x:cols>
  <x:sheetData>
    <x:row r="1" ht="23" customHeight="1">
      <x:c r="A1" s="3"/>
      <x:c r="B1" s="3"/>
      <x:c r="C1" s="6" t="str">
        <x:v>สมมติฐานตลาดและการขาย</x:v>
      </x:c>
      <x:c r="D1" s="6"/>
      <x:c r="E1" s="6"/>
      <x:c r="F1" s="6"/>
      <x:c r="G1" s="6"/>
      <x:c r="H1" s="6"/>
      <x:c r="I1" s="6"/>
      <x:c r="J1" s="3"/>
    </x:row>
    <x:row r="2" ht="23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23" customHeight="1">
      <x:c r="A3" s="3"/>
      <x:c r="B3" s="3"/>
      <x:c r="C3" s="3" t="str">
        <x:v>แก้ช่องสีเหลือง; เลข 1=ต่ำ 2=ฐาน 3=สูง</x:v>
      </x:c>
      <x:c r="D3" s="3"/>
      <x:c r="E3" s="3"/>
      <x:c r="F3" s="3"/>
      <x:c r="G3" s="3"/>
      <x:c r="H3" s="3"/>
      <x:c r="I3" s="3"/>
      <x:c r="J3" s="3"/>
    </x:row>
    <x:row r="4" ht="23" customHeight="1">
      <x:c r="A4" s="3"/>
      <x:c r="B4" s="3"/>
      <x:c r="C4" s="3" t="str">
        <x:v>กรณีที่ใช้</x:v>
      </x:c>
      <x:c r="D4" s="3"/>
      <x:c r="E4" s="10" t="n">
        <x:v>2</x:v>
      </x:c>
      <x:c r="F4" s="12" t="str">
        <x:f>CHOOSE(E4,"ต่ำ","ฐาน","สูง")</x:f>
        <x:v>ฐาน</x:v>
      </x:c>
      <x:c r="G4" s="3"/>
      <x:c r="H4" s="3"/>
      <x:c r="I4" s="3"/>
      <x:c r="J4" s="3"/>
    </x:row>
    <x:row r="5" ht="23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23" customHeight="1">
      <x:c r="A6" s="3"/>
      <x:c r="B6" s="3"/>
      <x:c r="C6" s="3" t="str">
        <x:v>ทุกจำนวนเงินเป็น THB ต่อปีหากไม่ระบุอื่น; ตัวเลขเชิงธุรกิจเป็นสมมติฐานทั้งหมด</x:v>
      </x:c>
      <x:c r="D6" s="3"/>
      <x:c r="E6" s="3"/>
      <x:c r="F6" s="3"/>
      <x:c r="G6" s="3"/>
      <x:c r="H6" s="3"/>
      <x:c r="I6" s="3"/>
      <x:c r="J6" s="3"/>
    </x:row>
    <x:row r="7" ht="23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</x:row>
    <x:row r="8" ht="23" customHeight="1">
      <x:c r="A8" s="3"/>
      <x:c r="B8" s="3"/>
      <x:c r="C8" s="8" t="str">
        <x:v>ตัวแปร</x:v>
      </x:c>
      <x:c r="D8" s="8" t="str">
        <x:v>หน่วย/ปี</x:v>
      </x:c>
      <x:c r="E8" s="8" t="str">
        <x:v>ใช้ในโมเดล</x:v>
      </x:c>
      <x:c r="F8" s="8" t="str">
        <x:v>ต่ำ</x:v>
      </x:c>
      <x:c r="G8" s="8" t="str">
        <x:v>ฐาน</x:v>
      </x:c>
      <x:c r="H8" s="8" t="str">
        <x:v>สูง</x:v>
      </x:c>
      <x:c r="I8" s="8" t="str">
        <x:v>ฐาน/เหตุผล</x:v>
      </x:c>
      <x:c r="J8" s="3"/>
    </x:row>
    <x:row r="9" ht="34" customHeight="1">
      <x:c r="A9" s="3"/>
      <x:c r="B9" s="3"/>
      <x:c r="C9" s="3" t="str">
        <x:v>A TAM ขอบเขตทำงาน</x:v>
      </x:c>
      <x:c r="D9" s="3" t="str">
        <x:v>องค์กร</x:v>
      </x:c>
      <x:c r="E9" s="13" t="n">
        <x:f>SUM(Buyers!D8:D84)</x:f>
        <x:v>48</x:v>
      </x:c>
      <x:c r="F9" s="3"/>
      <x:c r="G9" s="3"/>
      <x:c r="H9" s="3"/>
      <x:c r="I9" s="11" t="str">
        <x:v>E01 หรือ P01–P09 + สมมติฐานคัดรายชื่อใน Buyers</x:v>
      </x:c>
      <x:c r="J9" s="3"/>
    </x:row>
    <x:row r="10" ht="34" customHeight="1">
      <x:c r="A10" s="3"/>
      <x:c r="B10" s="3"/>
      <x:c r="C10" s="3" t="str">
        <x:v>A SAM เป้าศึกษาที่รองรับได้</x:v>
      </x:c>
      <x:c r="D10" s="3" t="str">
        <x:v>องค์กร</x:v>
      </x:c>
      <x:c r="E10" s="12" t="n">
        <x:f>CHOOSE($E$4,F10,G10,H10)</x:f>
        <x:v>18</x:v>
      </x:c>
      <x:c r="F10" s="13" t="n">
        <x:f>SUM(Buyers!E8:E84)</x:f>
        <x:v>12</x:v>
      </x:c>
      <x:c r="G10" s="13" t="n">
        <x:f>SUM(Buyers!F8:F84)</x:f>
        <x:v>18</x:v>
      </x:c>
      <x:c r="H10" s="13" t="n">
        <x:f>SUM(Buyers!G8:G84)</x:f>
        <x:v>24</x:v>
      </x:c>
      <x:c r="I10" s="11" t="str">
        <x:v>ไม่ใช่ pipeline ที่ติดต่อแล้ว; ต้องยืนยัน scope/ข้อมูล/งบ</x:v>
      </x:c>
      <x:c r="J10" s="3"/>
    </x:row>
    <x:row r="11" ht="34" customHeight="1">
      <x:c r="A11" s="3"/>
      <x:c r="B11" s="3"/>
      <x:c r="C11" s="3" t="str">
        <x:v>A ราคาสมมติต่อองค์กร</x:v>
      </x:c>
      <x:c r="D11" s="3" t="str">
        <x:v>THB/ปี</x:v>
      </x:c>
      <x:c r="E11" s="14" t="n">
        <x:f>IF(CHOOSE($E$4,ISNUMBER(F11),ISNUMBER(G11),ISNUMBER(H11)),CHOOSE($E$4,F11,G11,H11),"")</x:f>
        <x:v>1200000</x:v>
      </x:c>
      <x:c r="F11" s="15" t="n">
        <x:v>600000</x:v>
      </x:c>
      <x:c r="G11" s="15" t="n">
        <x:v>1200000</x:v>
      </x:c>
      <x:c r="H11" s="15" t="n">
        <x:v>2400000</x:v>
      </x:c>
      <x:c r="I11" s="11" t="str">
        <x:v>H-price: ใช้ทดสอบเศรษฐศาสตร์ ไม่ใช่ใบเสนอราคาหรือ WTP</x:v>
      </x:c>
      <x:c r="J11" s="3"/>
    </x:row>
    <x:row r="12" ht="34" customHeight="1">
      <x:c r="A12" s="3"/>
      <x:c r="B12" s="3"/>
      <x:c r="C12" s="3" t="str">
        <x:v>A เวลาดูแลต่อองค์กร</x:v>
      </x:c>
      <x:c r="D12" s="3" t="str">
        <x:v>ชั่วโมง/เดือน</x:v>
      </x:c>
      <x:c r="E12" s="14" t="n">
        <x:f>IF(CHOOSE($E$4,ISNUMBER(F12),ISNUMBER(G12),ISNUMBER(H12)),CHOOSE($E$4,F12,G12,H12),"")</x:f>
        <x:v>8</x:v>
      </x:c>
      <x:c r="F12" s="15" t="n">
        <x:v>12</x:v>
      </x:c>
      <x:c r="G12" s="15" t="n">
        <x:v>8</x:v>
      </x:c>
      <x:c r="H12" s="15" t="n">
        <x:v>6</x:v>
      </x:c>
      <x:c r="I12" s="11" t="str">
        <x:v>H-cost: เป้าหมายให้บริการซ้ำ ต้องวัดจริง</x:v>
      </x:c>
      <x:c r="J12" s="3"/>
    </x:row>
    <x:row r="13" ht="34" customHeight="1">
      <x:c r="A13" s="3"/>
      <x:c r="B13" s="3"/>
      <x:c r="C13" s="3" t="str">
        <x:v>A ประมวลผล/จัดเก็บต่อองค์กร</x:v>
      </x:c>
      <x:c r="D13" s="3" t="str">
        <x:v>THB/เดือน</x:v>
      </x:c>
      <x:c r="E13" s="14" t="n">
        <x:f>IF(CHOOSE($E$4,ISNUMBER(F13),ISNUMBER(G13),ISNUMBER(H13)),CHOOSE($E$4,F13,G13,H13),"")</x:f>
        <x:v>8000</x:v>
      </x:c>
      <x:c r="F13" s="15" t="n">
        <x:v>6000</x:v>
      </x:c>
      <x:c r="G13" s="15" t="n">
        <x:v>8000</x:v>
      </x:c>
      <x:c r="H13" s="15" t="n">
        <x:v>12000</x:v>
      </x:c>
      <x:c r="I13" s="11" t="str">
        <x:v>H-cost: ยังไม่มีใบเสนอราคาหรือ workload จริง</x:v>
      </x:c>
      <x:c r="J13" s="3"/>
    </x:row>
    <x:row r="14" ht="34" customHeight="1">
      <x:c r="A14" s="3"/>
      <x:c r="B14" s="3"/>
      <x:c r="C14" s="3" t="str">
        <x:v>A เวลาติดตั้งครั้งแรก</x:v>
      </x:c>
      <x:c r="D14" s="3" t="str">
        <x:v>ชั่วโมง/ราย</x:v>
      </x:c>
      <x:c r="E14" s="14" t="n">
        <x:f>IF(CHOOSE($E$4,ISNUMBER(F14),ISNUMBER(G14),ISNUMBER(H14)),CHOOSE($E$4,F14,G14,H14),"")</x:f>
        <x:v>80</x:v>
      </x:c>
      <x:c r="F14" s="15" t="n">
        <x:v>120</x:v>
      </x:c>
      <x:c r="G14" s="15" t="n">
        <x:v>80</x:v>
      </x:c>
      <x:c r="H14" s="15" t="n">
        <x:v>60</x:v>
      </x:c>
      <x:c r="I14" s="11" t="str">
        <x:v>H-cost: ต้องจำกัดงานปรับเฉพาะลูกค้า</x:v>
      </x:c>
      <x:c r="J14" s="3"/>
    </x:row>
    <x:row r="15" ht="34" customHeight="1">
      <x:c r="A15" s="3"/>
      <x:c r="B15" s="3"/>
      <x:c r="C15" s="18" t="str">
        <x:v>A อัตราต่ออายุ</x:v>
      </x:c>
      <x:c r="D15" s="18" t="str">
        <x:v>ต่อปี</x:v>
      </x:c>
      <x:c r="E15" s="19" t="n">
        <x:f>IF(CHOOSE($E$4,ISNUMBER(F15),ISNUMBER(G15),ISNUMBER(H15)),CHOOSE($E$4,F15,G15,H15),"")</x:f>
        <x:v>0.9</x:v>
      </x:c>
      <x:c r="F15" s="20" t="n">
        <x:v>0.8</x:v>
      </x:c>
      <x:c r="G15" s="20" t="n">
        <x:v>0.9</x:v>
      </x:c>
      <x:c r="H15" s="20" t="n">
        <x:v>0.95</x:v>
      </x:c>
      <x:c r="I15" s="11" t="str">
        <x:v>H-sales: ไม่ใช่ข้อมูล retention จริง</x:v>
      </x:c>
      <x:c r="J15" s="3"/>
    </x:row>
    <x:row r="16" ht="34" customHeight="1">
      <x:c r="A16" s="3"/>
      <x:c r="B16" s="3"/>
      <x:c r="C16" s="3"/>
      <x:c r="D16" s="3"/>
      <x:c r="E16" s="3"/>
      <x:c r="F16" s="3"/>
      <x:c r="G16" s="3"/>
      <x:c r="H16" s="3"/>
      <x:c r="I16" s="11"/>
      <x:c r="J16" s="3"/>
    </x:row>
    <x:row r="17" ht="34" customHeight="1">
      <x:c r="A17" s="3"/>
      <x:c r="B17" s="3"/>
      <x:c r="C17" s="3"/>
      <x:c r="D17" s="3"/>
      <x:c r="E17" s="3"/>
      <x:c r="F17" s="3"/>
      <x:c r="G17" s="3"/>
      <x:c r="H17" s="3"/>
      <x:c r="I17" s="11"/>
      <x:c r="J17" s="3"/>
    </x:row>
    <x:row r="18" ht="34" customHeight="1">
      <x:c r="A18" s="3"/>
      <x:c r="B18" s="3"/>
      <x:c r="C18" s="3"/>
      <x:c r="D18" s="3"/>
      <x:c r="E18" s="3"/>
      <x:c r="F18" s="3"/>
      <x:c r="G18" s="3"/>
      <x:c r="H18" s="3"/>
      <x:c r="I18" s="11"/>
      <x:c r="J18" s="3"/>
    </x:row>
    <x:row r="19" ht="34" customHeight="1">
      <x:c r="A19" s="3"/>
      <x:c r="B19" s="3"/>
      <x:c r="C19" s="3" t="str">
        <x:v>B TAM ขอบเขตทำงาน</x:v>
      </x:c>
      <x:c r="D19" s="3" t="str">
        <x:v>องค์กร</x:v>
      </x:c>
      <x:c r="E19" s="13" t="n">
        <x:f>SUM(Buyers!H8:H84)</x:f>
        <x:v>9</x:v>
      </x:c>
      <x:c r="F19" s="3"/>
      <x:c r="G19" s="3"/>
      <x:c r="H19" s="3"/>
      <x:c r="I19" s="11" t="str">
        <x:v>E01 หรือ P01–P09 + สมมติฐานคัดรายชื่อใน Buyers</x:v>
      </x:c>
      <x:c r="J19" s="3"/>
    </x:row>
    <x:row r="20" ht="34" customHeight="1">
      <x:c r="A20" s="3"/>
      <x:c r="B20" s="3"/>
      <x:c r="C20" s="3" t="str">
        <x:v>B SAM เป้าศึกษาที่รองรับได้</x:v>
      </x:c>
      <x:c r="D20" s="3" t="str">
        <x:v>องค์กร</x:v>
      </x:c>
      <x:c r="E20" s="12" t="n">
        <x:f>CHOOSE($E$4,F20,G20,H20)</x:f>
        <x:v>5</x:v>
      </x:c>
      <x:c r="F20" s="13" t="n">
        <x:f>SUM(Buyers!I8:I84)</x:f>
        <x:v>3</x:v>
      </x:c>
      <x:c r="G20" s="13" t="n">
        <x:f>SUM(Buyers!J8:J84)</x:f>
        <x:v>5</x:v>
      </x:c>
      <x:c r="H20" s="13" t="n">
        <x:f>SUM(Buyers!K8:K84)</x:f>
        <x:v>8</x:v>
      </x:c>
      <x:c r="I20" s="11" t="str">
        <x:v>ไม่ใช่ pipeline ที่ติดต่อแล้ว; ต้องยืนยัน scope/ข้อมูล/งบ</x:v>
      </x:c>
      <x:c r="J20" s="3"/>
    </x:row>
    <x:row r="21" ht="34" customHeight="1">
      <x:c r="A21" s="3"/>
      <x:c r="B21" s="3"/>
      <x:c r="C21" s="3" t="str">
        <x:v>B ราคาสมมติต่อองค์กร</x:v>
      </x:c>
      <x:c r="D21" s="3" t="str">
        <x:v>THB/ปี</x:v>
      </x:c>
      <x:c r="E21" s="14" t="n">
        <x:f>IF(CHOOSE($E$4,ISNUMBER(F21),ISNUMBER(G21),ISNUMBER(H21)),CHOOSE($E$4,F21,G21,H21),"")</x:f>
        <x:v>600000</x:v>
      </x:c>
      <x:c r="F21" s="15" t="n">
        <x:v>300000</x:v>
      </x:c>
      <x:c r="G21" s="15" t="n">
        <x:v>600000</x:v>
      </x:c>
      <x:c r="H21" s="15" t="n">
        <x:v>1200000</x:v>
      </x:c>
      <x:c r="I21" s="11" t="str">
        <x:v>H-price: ใช้ทดสอบเศรษฐศาสตร์ ไม่ใช่ใบเสนอราคาหรือ WTP</x:v>
      </x:c>
      <x:c r="J21" s="3"/>
    </x:row>
    <x:row r="22" ht="34" customHeight="1">
      <x:c r="A22" s="3"/>
      <x:c r="B22" s="3"/>
      <x:c r="C22" s="3" t="str">
        <x:v>B เวลาดูแลต่อองค์กร</x:v>
      </x:c>
      <x:c r="D22" s="3" t="str">
        <x:v>ชั่วโมง/เดือน</x:v>
      </x:c>
      <x:c r="E22" s="14" t="n">
        <x:f>IF(CHOOSE($E$4,ISNUMBER(F22),ISNUMBER(G22),ISNUMBER(H22)),CHOOSE($E$4,F22,G22,H22),"")</x:f>
        <x:v>8</x:v>
      </x:c>
      <x:c r="F22" s="15" t="n">
        <x:v>12</x:v>
      </x:c>
      <x:c r="G22" s="15" t="n">
        <x:v>8</x:v>
      </x:c>
      <x:c r="H22" s="15" t="n">
        <x:v>6</x:v>
      </x:c>
      <x:c r="I22" s="11" t="str">
        <x:v>H-cost: เป้าหมายให้บริการซ้ำ ต้องวัดจริง</x:v>
      </x:c>
      <x:c r="J22" s="3"/>
    </x:row>
    <x:row r="23" ht="34" customHeight="1">
      <x:c r="A23" s="3"/>
      <x:c r="B23" s="3"/>
      <x:c r="C23" s="3" t="str">
        <x:v>B ประมวลผล/จัดเก็บต่อองค์กร</x:v>
      </x:c>
      <x:c r="D23" s="3" t="str">
        <x:v>THB/เดือน</x:v>
      </x:c>
      <x:c r="E23" s="14" t="n">
        <x:f>IF(CHOOSE($E$4,ISNUMBER(F23),ISNUMBER(G23),ISNUMBER(H23)),CHOOSE($E$4,F23,G23,H23),"")</x:f>
        <x:v>6000</x:v>
      </x:c>
      <x:c r="F23" s="15" t="n">
        <x:v>4000</x:v>
      </x:c>
      <x:c r="G23" s="15" t="n">
        <x:v>6000</x:v>
      </x:c>
      <x:c r="H23" s="15" t="n">
        <x:v>10000</x:v>
      </x:c>
      <x:c r="I23" s="11" t="str">
        <x:v>H-cost: ยังไม่มีใบเสนอราคาหรือ workload จริง</x:v>
      </x:c>
      <x:c r="J23" s="3"/>
    </x:row>
    <x:row r="24" ht="34" customHeight="1">
      <x:c r="A24" s="3"/>
      <x:c r="B24" s="3"/>
      <x:c r="C24" s="3" t="str">
        <x:v>B เวลาติดตั้งครั้งแรก</x:v>
      </x:c>
      <x:c r="D24" s="3" t="str">
        <x:v>ชั่วโมง/ราย</x:v>
      </x:c>
      <x:c r="E24" s="14" t="n">
        <x:f>IF(CHOOSE($E$4,ISNUMBER(F24),ISNUMBER(G24),ISNUMBER(H24)),CHOOSE($E$4,F24,G24,H24),"")</x:f>
        <x:v>60</x:v>
      </x:c>
      <x:c r="F24" s="15" t="n">
        <x:v>80</x:v>
      </x:c>
      <x:c r="G24" s="15" t="n">
        <x:v>60</x:v>
      </x:c>
      <x:c r="H24" s="15" t="n">
        <x:v>40</x:v>
      </x:c>
      <x:c r="I24" s="11" t="str">
        <x:v>H-cost: ต้องจำกัดงานปรับเฉพาะลูกค้า</x:v>
      </x:c>
      <x:c r="J24" s="3"/>
    </x:row>
    <x:row r="25" ht="34" customHeight="1">
      <x:c r="A25" s="3"/>
      <x:c r="B25" s="3"/>
      <x:c r="C25" s="18" t="str">
        <x:v>B อัตราต่ออายุ</x:v>
      </x:c>
      <x:c r="D25" s="18" t="str">
        <x:v>ต่อปี</x:v>
      </x:c>
      <x:c r="E25" s="19" t="n">
        <x:f>IF(CHOOSE($E$4,ISNUMBER(F25),ISNUMBER(G25),ISNUMBER(H25)),CHOOSE($E$4,F25,G25,H25),"")</x:f>
        <x:v>0.85</x:v>
      </x:c>
      <x:c r="F25" s="20" t="n">
        <x:v>0.7</x:v>
      </x:c>
      <x:c r="G25" s="20" t="n">
        <x:v>0.85</x:v>
      </x:c>
      <x:c r="H25" s="20" t="n">
        <x:v>0.9</x:v>
      </x:c>
      <x:c r="I25" s="11" t="str">
        <x:v>H-sales: ไม่ใช่ข้อมูล retention จริง</x:v>
      </x:c>
      <x:c r="J25" s="3"/>
    </x:row>
    <x:row r="26" ht="34" customHeight="1">
      <x:c r="A26" s="3"/>
      <x:c r="B26" s="3"/>
      <x:c r="C26" s="3"/>
      <x:c r="D26" s="3"/>
      <x:c r="E26" s="3"/>
      <x:c r="F26" s="3"/>
      <x:c r="G26" s="3"/>
      <x:c r="H26" s="3"/>
      <x:c r="I26" s="11"/>
      <x:c r="J26" s="3"/>
    </x:row>
    <x:row r="27" ht="34" customHeight="1">
      <x:c r="A27" s="3"/>
      <x:c r="B27" s="3"/>
      <x:c r="C27" s="3"/>
      <x:c r="D27" s="3"/>
      <x:c r="E27" s="3"/>
      <x:c r="F27" s="3"/>
      <x:c r="G27" s="3"/>
      <x:c r="H27" s="3"/>
      <x:c r="I27" s="11"/>
      <x:c r="J27" s="3"/>
    </x:row>
    <x:row r="28" ht="34" customHeight="1">
      <x:c r="A28" s="3"/>
      <x:c r="B28" s="3"/>
      <x:c r="C28" s="3"/>
      <x:c r="D28" s="3"/>
      <x:c r="E28" s="3"/>
      <x:c r="F28" s="3"/>
      <x:c r="G28" s="3"/>
      <x:c r="H28" s="3"/>
      <x:c r="I28" s="11"/>
      <x:c r="J28" s="3"/>
    </x:row>
    <x:row r="29" ht="34" customHeight="1">
      <x:c r="A29" s="3"/>
      <x:c r="B29" s="3"/>
      <x:c r="C29" s="3" t="str">
        <x:v>C TAM ขอบเขตทำงาน</x:v>
      </x:c>
      <x:c r="D29" s="3" t="str">
        <x:v>องค์กร</x:v>
      </x:c>
      <x:c r="E29" s="13" t="n">
        <x:f>SUM(Buyers!D8:D84)</x:f>
        <x:v>48</x:v>
      </x:c>
      <x:c r="F29" s="3"/>
      <x:c r="G29" s="3"/>
      <x:c r="H29" s="3"/>
      <x:c r="I29" s="11" t="str">
        <x:v>E01 หรือ P01–P09 + สมมติฐานคัดรายชื่อใน Buyers</x:v>
      </x:c>
      <x:c r="J29" s="3"/>
    </x:row>
    <x:row r="30" ht="34" customHeight="1">
      <x:c r="A30" s="3"/>
      <x:c r="B30" s="3"/>
      <x:c r="C30" s="3" t="str">
        <x:v>C SAM เป้าศึกษาที่รองรับได้</x:v>
      </x:c>
      <x:c r="D30" s="3" t="str">
        <x:v>องค์กร</x:v>
      </x:c>
      <x:c r="E30" s="12" t="n">
        <x:f>CHOOSE($E$4,F30,G30,H30)</x:f>
        <x:v>18</x:v>
      </x:c>
      <x:c r="F30" s="13" t="n">
        <x:f>SUM(Buyers!E8:E84)</x:f>
        <x:v>12</x:v>
      </x:c>
      <x:c r="G30" s="13" t="n">
        <x:f>SUM(Buyers!F8:F84)</x:f>
        <x:v>18</x:v>
      </x:c>
      <x:c r="H30" s="13" t="n">
        <x:f>SUM(Buyers!G8:G84)</x:f>
        <x:v>24</x:v>
      </x:c>
      <x:c r="I30" s="11" t="str">
        <x:v>ไม่ใช่ pipeline ที่ติดต่อแล้ว; ต้องยืนยัน scope/ข้อมูล/งบ</x:v>
      </x:c>
      <x:c r="J30" s="3"/>
    </x:row>
    <x:row r="31" ht="34" customHeight="1">
      <x:c r="A31" s="3"/>
      <x:c r="B31" s="3"/>
      <x:c r="C31" s="3" t="str">
        <x:v>C ราคาสมมติต่อองค์กร</x:v>
      </x:c>
      <x:c r="D31" s="3" t="str">
        <x:v>THB/ปี</x:v>
      </x:c>
      <x:c r="E31" s="14" t="n">
        <x:f>IF(CHOOSE($E$4,ISNUMBER(F31),ISNUMBER(G31),ISNUMBER(H31)),CHOOSE($E$4,F31,G31,H31),"")</x:f>
        <x:v>600000</x:v>
      </x:c>
      <x:c r="F31" s="15" t="n">
        <x:v>240000</x:v>
      </x:c>
      <x:c r="G31" s="15" t="n">
        <x:v>600000</x:v>
      </x:c>
      <x:c r="H31" s="15" t="n">
        <x:v>1200000</x:v>
      </x:c>
      <x:c r="I31" s="11" t="str">
        <x:v>H-price: ใช้ทดสอบเศรษฐศาสตร์ ไม่ใช่ใบเสนอราคาหรือ WTP</x:v>
      </x:c>
      <x:c r="J31" s="3"/>
    </x:row>
    <x:row r="32" ht="34" customHeight="1">
      <x:c r="A32" s="3"/>
      <x:c r="B32" s="3"/>
      <x:c r="C32" s="3" t="str">
        <x:v>C เวลาดูแลต่อองค์กร</x:v>
      </x:c>
      <x:c r="D32" s="3" t="str">
        <x:v>ชั่วโมง/เดือน</x:v>
      </x:c>
      <x:c r="E32" s="14" t="n">
        <x:f>IF(CHOOSE($E$4,ISNUMBER(F32),ISNUMBER(G32),ISNUMBER(H32)),CHOOSE($E$4,F32,G32,H32),"")</x:f>
        <x:v>4</x:v>
      </x:c>
      <x:c r="F32" s="15" t="n">
        <x:v>6</x:v>
      </x:c>
      <x:c r="G32" s="15" t="n">
        <x:v>4</x:v>
      </x:c>
      <x:c r="H32" s="15" t="n">
        <x:v>3</x:v>
      </x:c>
      <x:c r="I32" s="11" t="str">
        <x:v>H-cost: เป้าหมายให้บริการซ้ำ ต้องวัดจริง</x:v>
      </x:c>
      <x:c r="J32" s="3"/>
    </x:row>
    <x:row r="33" ht="34" customHeight="1">
      <x:c r="A33" s="3"/>
      <x:c r="B33" s="3"/>
      <x:c r="C33" s="3" t="str">
        <x:v>C ประมวลผล/จัดเก็บต่อองค์กร</x:v>
      </x:c>
      <x:c r="D33" s="3" t="str">
        <x:v>THB/เดือน</x:v>
      </x:c>
      <x:c r="E33" s="14" t="n">
        <x:f>IF(CHOOSE($E$4,ISNUMBER(F33),ISNUMBER(G33),ISNUMBER(H33)),CHOOSE($E$4,F33,G33,H33),"")</x:f>
        <x:v>5000</x:v>
      </x:c>
      <x:c r="F33" s="15" t="n">
        <x:v>3000</x:v>
      </x:c>
      <x:c r="G33" s="15" t="n">
        <x:v>5000</x:v>
      </x:c>
      <x:c r="H33" s="15" t="n">
        <x:v>8000</x:v>
      </x:c>
      <x:c r="I33" s="11" t="str">
        <x:v>H-cost: ยังไม่มีใบเสนอราคาหรือ workload จริง</x:v>
      </x:c>
      <x:c r="J33" s="3"/>
    </x:row>
    <x:row r="34" ht="34" customHeight="1">
      <x:c r="A34" s="3"/>
      <x:c r="B34" s="3"/>
      <x:c r="C34" s="3" t="str">
        <x:v>C เวลาติดตั้งครั้งแรก</x:v>
      </x:c>
      <x:c r="D34" s="3" t="str">
        <x:v>ชั่วโมง/ราย</x:v>
      </x:c>
      <x:c r="E34" s="14" t="n">
        <x:f>IF(CHOOSE($E$4,ISNUMBER(F34),ISNUMBER(G34),ISNUMBER(H34)),CHOOSE($E$4,F34,G34,H34),"")</x:f>
        <x:v>80</x:v>
      </x:c>
      <x:c r="F34" s="15" t="n">
        <x:v>100</x:v>
      </x:c>
      <x:c r="G34" s="15" t="n">
        <x:v>80</x:v>
      </x:c>
      <x:c r="H34" s="15" t="n">
        <x:v>60</x:v>
      </x:c>
      <x:c r="I34" s="11" t="str">
        <x:v>H-cost: ต้องจำกัดงานปรับเฉพาะลูกค้า</x:v>
      </x:c>
      <x:c r="J34" s="3"/>
    </x:row>
    <x:row r="35" ht="34" customHeight="1">
      <x:c r="A35" s="3"/>
      <x:c r="B35" s="3"/>
      <x:c r="C35" s="18" t="str">
        <x:v>C อัตราต่ออายุ</x:v>
      </x:c>
      <x:c r="D35" s="18" t="str">
        <x:v>ต่อปี</x:v>
      </x:c>
      <x:c r="E35" s="19" t="n">
        <x:f>IF(CHOOSE($E$4,ISNUMBER(F35),ISNUMBER(G35),ISNUMBER(H35)),CHOOSE($E$4,F35,G35,H35),"")</x:f>
        <x:v>0.85</x:v>
      </x:c>
      <x:c r="F35" s="20" t="n">
        <x:v>0.7</x:v>
      </x:c>
      <x:c r="G35" s="20" t="n">
        <x:v>0.85</x:v>
      </x:c>
      <x:c r="H35" s="20" t="n">
        <x:v>0.9</x:v>
      </x:c>
      <x:c r="I35" s="11" t="str">
        <x:v>H-sales: ไม่ใช่ข้อมูล retention จริง</x:v>
      </x:c>
      <x:c r="J35" s="3"/>
    </x:row>
    <x:row r="36" ht="34" customHeight="1">
      <x:c r="A36" s="3"/>
      <x:c r="B36" s="3"/>
      <x:c r="C36" s="3"/>
      <x:c r="D36" s="3"/>
      <x:c r="E36" s="3"/>
      <x:c r="F36" s="3"/>
      <x:c r="G36" s="3"/>
      <x:c r="H36" s="3"/>
      <x:c r="I36" s="11"/>
      <x:c r="J36" s="3"/>
    </x:row>
    <x:row r="37" ht="34" customHeight="1">
      <x:c r="A37" s="3"/>
      <x:c r="B37" s="3"/>
      <x:c r="C37" s="3"/>
      <x:c r="D37" s="3"/>
      <x:c r="E37" s="3"/>
      <x:c r="F37" s="3"/>
      <x:c r="G37" s="3"/>
      <x:c r="H37" s="3"/>
      <x:c r="I37" s="11"/>
      <x:c r="J37" s="3"/>
    </x:row>
    <x:row r="38" ht="34" customHeight="1">
      <x:c r="A38" s="3"/>
      <x:c r="B38" s="3"/>
      <x:c r="C38" s="3"/>
      <x:c r="D38" s="3"/>
      <x:c r="E38" s="3"/>
      <x:c r="F38" s="3"/>
      <x:c r="G38" s="3"/>
      <x:c r="H38" s="3"/>
      <x:c r="I38" s="11"/>
      <x:c r="J38" s="3"/>
    </x:row>
    <x:row r="39" ht="34" customHeight="1">
      <x:c r="A39" s="3"/>
      <x:c r="B39" s="3"/>
      <x:c r="C39" s="3"/>
      <x:c r="D39" s="3"/>
      <x:c r="E39" s="3"/>
      <x:c r="F39" s="3"/>
      <x:c r="G39" s="3"/>
      <x:c r="H39" s="3"/>
      <x:c r="I39" s="11"/>
      <x:c r="J39" s="3"/>
    </x:row>
    <x:row r="40" ht="34" customHeight="1">
      <x:c r="A40" s="3"/>
      <x:c r="B40" s="3"/>
      <x:c r="C40" s="3" t="str">
        <x:v>ต้นทุนชั่วโมงทีมผู้ให้บริการ</x:v>
      </x:c>
      <x:c r="D40" s="3" t="str">
        <x:v>THB/ชั่วโมง</x:v>
      </x:c>
      <x:c r="E40" s="14" t="n">
        <x:f>IF(CHOOSE($E$4,ISNUMBER(F40),ISNUMBER(G40),ISNUMBER(H40)),CHOOSE($E$4,F40,G40,H40),"")</x:f>
        <x:v>600</x:v>
      </x:c>
      <x:c r="F40" s="15" t="n">
        <x:v>600</x:v>
      </x:c>
      <x:c r="G40" s="15" t="n">
        <x:v>600</x:v>
      </x:c>
      <x:c r="H40" s="15" t="n">
        <x:v>600</x:v>
      </x:c>
      <x:c r="I40" s="11" t="str">
        <x:v>H-cost: loaded delivery cost ไม่ใช่เงินเดือนผู้ใช้</x:v>
      </x:c>
      <x:c r="J40" s="3"/>
    </x:row>
    <x:row r="41" ht="34" customHeight="1">
      <x:c r="A41" s="3"/>
      <x:c r="B41" s="3"/>
      <x:c r="C41" s="3" t="str">
        <x:v>A ปริมาณเคสที่เข้าเกณฑ์</x:v>
      </x:c>
      <x:c r="D41" s="3" t="str">
        <x:v>เคส/เดือน</x:v>
      </x:c>
      <x:c r="E41" s="21" t="n">
        <x:f>IF(CHOOSE($E$4,ISNUMBER(F41),ISNUMBER(G41),ISNUMBER(H41)),CHOOSE($E$4,F41,G41,H41),"")</x:f>
        <x:v>1500</x:v>
      </x:c>
      <x:c r="F41" s="22" t="n">
        <x:v>500</x:v>
      </x:c>
      <x:c r="G41" s="22" t="n">
        <x:v>1500</x:v>
      </x:c>
      <x:c r="H41" s="22" t="n">
        <x:v>3000</x:v>
      </x:c>
      <x:c r="I41" s="11" t="str">
        <x:v>H-value: ไม่มีตัวเลขจริงจากผู้ซื้อ</x:v>
      </x:c>
      <x:c r="J41" s="3"/>
    </x:row>
    <x:row r="42" ht="34" customHeight="1">
      <x:c r="A42" s="3"/>
      <x:c r="B42" s="3"/>
      <x:c r="C42" s="3" t="str">
        <x:v>A นาทีเจ้าหน้าที่ที่ลดได้</x:v>
      </x:c>
      <x:c r="D42" s="3" t="str">
        <x:v>นาที/เคส</x:v>
      </x:c>
      <x:c r="E42" s="14" t="n">
        <x:f>IF(CHOOSE($E$4,ISNUMBER(F42),ISNUMBER(G42),ISNUMBER(H42)),CHOOSE($E$4,F42,G42,H42),"")</x:f>
        <x:v>12</x:v>
      </x:c>
      <x:c r="F42" s="15" t="n">
        <x:v>8</x:v>
      </x:c>
      <x:c r="G42" s="15" t="n">
        <x:v>12</x:v>
      </x:c>
      <x:c r="H42" s="15" t="n">
        <x:v>16</x:v>
      </x:c>
      <x:c r="I42" s="11" t="str">
        <x:v>H-value: ต้องเทียบกับวิธีเดิม ไม่ใช่ระยะปลดบัญชี</x:v>
      </x:c>
      <x:c r="J42" s="3"/>
    </x:row>
    <x:row r="43" ht="34" customHeight="1">
      <x:c r="A43" s="3"/>
      <x:c r="B43" s="3"/>
      <x:c r="C43" s="3" t="str">
        <x:v>A ต้นทุนเจ้าหน้าที่ลูกค้า</x:v>
      </x:c>
      <x:c r="D43" s="3" t="str">
        <x:v>THB/นาที</x:v>
      </x:c>
      <x:c r="E43" s="14" t="n">
        <x:f>IF(CHOOSE($E$4,ISNUMBER(F43),ISNUMBER(G43),ISNUMBER(H43)),CHOOSE($E$4,F43,G43,H43),"")</x:f>
        <x:v>6</x:v>
      </x:c>
      <x:c r="F43" s="15" t="n">
        <x:v>5</x:v>
      </x:c>
      <x:c r="G43" s="15" t="n">
        <x:v>6</x:v>
      </x:c>
      <x:c r="H43" s="15" t="n">
        <x:v>8</x:v>
      </x:c>
      <x:c r="I43" s="11" t="str">
        <x:v>H-value: ต้องขอฐานต้นทุนจากฝ่ายงบ</x:v>
      </x:c>
      <x:c r="J43" s="3"/>
    </x:row>
    <x:row r="44" ht="34" customHeight="1">
      <x:c r="A44" s="3"/>
      <x:c r="B44" s="3"/>
      <x:c r="C44" s="18" t="str">
        <x:v>A ส่วนเวลาแปลงเป็นคุณค่าได้</x:v>
      </x:c>
      <x:c r="D44" s="18" t="str">
        <x:v>สัดส่วน</x:v>
      </x:c>
      <x:c r="E44" s="19" t="n">
        <x:f>IF(CHOOSE($E$4,ISNUMBER(F44),ISNUMBER(G44),ISNUMBER(H44)),CHOOSE($E$4,F44,G44,H44),"")</x:f>
        <x:v>0.65</x:v>
      </x:c>
      <x:c r="F44" s="20" t="n">
        <x:v>0.5</x:v>
      </x:c>
      <x:c r="G44" s="20" t="n">
        <x:v>0.65</x:v>
      </x:c>
      <x:c r="H44" s="20" t="n">
        <x:v>0.8</x:v>
      </x:c>
      <x:c r="I44" s="11" t="str">
        <x:v>H-value: เวลาที่ว่างไม่เท่ากับเงินสดที่ประหยัดได้</x:v>
      </x:c>
      <x:c r="J44" s="3"/>
    </x:row>
    <x:row r="45" ht="34" customHeight="1">
      <x:c r="A45" s="3"/>
      <x:c r="B45" s="3"/>
      <x:c r="C45" s="18" t="str">
        <x:v>ส่วนปีที่คิดรายได้ลูกค้าใหม่</x:v>
      </x:c>
      <x:c r="D45" s="18" t="str">
        <x:v>สัดส่วนปี</x:v>
      </x:c>
      <x:c r="E45" s="19" t="n">
        <x:f>IF(CHOOSE($E$4,ISNUMBER(F45),ISNUMBER(G45),ISNUMBER(H45)),CHOOSE($E$4,F45,G45,H45),"")</x:f>
        <x:v>0.5</x:v>
      </x:c>
      <x:c r="F45" s="20" t="n">
        <x:v>0.25</x:v>
      </x:c>
      <x:c r="G45" s="20" t="n">
        <x:v>0.5</x:v>
      </x:c>
      <x:c r="H45" s="20" t="n">
        <x:v>0.5</x:v>
      </x:c>
      <x:c r="I45" s="11" t="str">
        <x:v>H-timing: ต่ำเริ่มเฉลี่ย Q4; ฐาน/สูงกลางปี</x:v>
      </x:c>
      <x:c r="J45" s="3"/>
    </x:row>
    <x:row r="46" ht="34" customHeight="1">
      <x:c r="A46" s="3"/>
      <x:c r="B46" s="3"/>
      <x:c r="C46" s="3" t="str">
        <x:v>กำลังดูแลและติดตั้งต่อปี</x:v>
      </x:c>
      <x:c r="D46" s="3" t="str">
        <x:v>ชั่วโมง/ปี</x:v>
      </x:c>
      <x:c r="E46" s="21" t="n">
        <x:f>IF(CHOOSE($E$4,ISNUMBER(F46),ISNUMBER(G46),ISNUMBER(H46)),CHOOSE($E$4,F46,G46,H46),"")</x:f>
        <x:v>1000</x:v>
      </x:c>
      <x:c r="F46" s="22" t="n">
        <x:v>600</x:v>
      </x:c>
      <x:c r="G46" s="22" t="n">
        <x:v>1000</x:v>
      </x:c>
      <x:c r="H46" s="22" t="n">
        <x:v>1400</x:v>
      </x:c>
      <x:c r="I46" s="11" t="str">
        <x:v>H-team: ต่อทางเลือกหนึ่งทาง ไม่รวมเวลาเขียนผลิตภัณฑ์</x:v>
      </x:c>
      <x:c r="J46" s="3"/>
    </x:row>
    <x:row r="47" ht="34" customHeight="1">
      <x:c r="A47" s="3"/>
      <x:c r="B47" s="3"/>
      <x:c r="C47" s="3" t="str">
        <x:v>ต้นทุนบริการร่วมต่อปี</x:v>
      </x:c>
      <x:c r="D47" s="3" t="str">
        <x:v>THB/ปี</x:v>
      </x:c>
      <x:c r="E47" s="14" t="n">
        <x:f>IF(CHOOSE($E$4,ISNUMBER(F47),ISNUMBER(G47),ISNUMBER(H47)),CHOOSE($E$4,F47,G47,H47),"")</x:f>
        <x:v>720000</x:v>
      </x:c>
      <x:c r="F47" s="15" t="n">
        <x:v>480000</x:v>
      </x:c>
      <x:c r="G47" s="15" t="n">
        <x:v>720000</x:v>
      </x:c>
      <x:c r="H47" s="15" t="n">
        <x:v>1200000</x:v>
      </x:c>
      <x:c r="I47" s="11" t="str">
        <x:v>H-cost: security/นโยบาย/QA สมมติ; ไม่รวม R&amp;D, ขาย, ภาษี</x:v>
      </x:c>
      <x:c r="J47" s="3"/>
    </x:row>
    <x:row r="48" ht="34" customHeight="1">
      <x:c r="A48" s="3"/>
      <x:c r="B48" s="3"/>
      <x:c r="C48" s="3"/>
      <x:c r="D48" s="3"/>
      <x:c r="E48" s="3"/>
      <x:c r="F48" s="3"/>
      <x:c r="G48" s="3"/>
      <x:c r="H48" s="3"/>
      <x:c r="I48" s="11"/>
      <x:c r="J48" s="3"/>
    </x:row>
    <x:row r="49" ht="34" customHeight="1">
      <x:c r="A49" s="3"/>
      <x:c r="B49" s="3"/>
      <x:c r="C49" s="3"/>
      <x:c r="D49" s="3"/>
      <x:c r="E49" s="3"/>
      <x:c r="F49" s="3"/>
      <x:c r="G49" s="3"/>
      <x:c r="H49" s="3"/>
      <x:c r="I49" s="11"/>
      <x:c r="J49" s="3"/>
    </x:row>
    <x:row r="50" ht="34" customHeight="1">
      <x:c r="A50" s="3"/>
      <x:c r="B50" s="3"/>
      <x:c r="C50" s="3" t="str">
        <x:v>A องค์กรใหม่ที่ qualify ได้</x:v>
      </x:c>
      <x:c r="D50" s="3" t="n">
        <x:v>2027</x:v>
      </x:c>
      <x:c r="E50" s="21" t="n">
        <x:f>IF(CHOOSE($E$4,ISNUMBER(F50),ISNUMBER(G50),ISNUMBER(H50)),CHOOSE($E$4,F50,G50,H50),"")</x:f>
        <x:v>6</x:v>
      </x:c>
      <x:c r="F50" s="22" t="n">
        <x:v>4</x:v>
      </x:c>
      <x:c r="G50" s="22" t="n">
        <x:v>6</x:v>
      </x:c>
      <x:c r="H50" s="22" t="n">
        <x:v>8</x:v>
      </x:c>
      <x:c r="I50" s="11" t="str">
        <x:v>H-sales: คนละองค์กรระหว่างปี; ผลรวมไม่เกิน SAM</x:v>
      </x:c>
      <x:c r="J50" s="3"/>
    </x:row>
    <x:row r="51" ht="34" customHeight="1">
      <x:c r="A51" s="3"/>
      <x:c r="B51" s="3"/>
      <x:c r="C51" s="3" t="str">
        <x:v>A องค์กรใหม่ที่ qualify ได้</x:v>
      </x:c>
      <x:c r="D51" s="3" t="n">
        <x:v>2028</x:v>
      </x:c>
      <x:c r="E51" s="21" t="n">
        <x:f>IF(CHOOSE($E$4,ISNUMBER(F51),ISNUMBER(G51),ISNUMBER(H51)),CHOOSE($E$4,F51,G51,H51),"")</x:f>
        <x:v>6</x:v>
      </x:c>
      <x:c r="F51" s="22" t="n">
        <x:v>4</x:v>
      </x:c>
      <x:c r="G51" s="22" t="n">
        <x:v>6</x:v>
      </x:c>
      <x:c r="H51" s="22" t="n">
        <x:v>8</x:v>
      </x:c>
      <x:c r="I51" s="11" t="str">
        <x:v>H-sales: คนละองค์กรระหว่างปี; ผลรวมไม่เกิน SAM</x:v>
      </x:c>
      <x:c r="J51" s="3"/>
    </x:row>
    <x:row r="52" ht="34" customHeight="1">
      <x:c r="A52" s="3"/>
      <x:c r="B52" s="3"/>
      <x:c r="C52" s="3" t="str">
        <x:v>A องค์กรใหม่ที่ qualify ได้</x:v>
      </x:c>
      <x:c r="D52" s="3" t="n">
        <x:v>2029</x:v>
      </x:c>
      <x:c r="E52" s="21" t="n">
        <x:f>IF(CHOOSE($E$4,ISNUMBER(F52),ISNUMBER(G52),ISNUMBER(H52)),CHOOSE($E$4,F52,G52,H52),"")</x:f>
        <x:v>6</x:v>
      </x:c>
      <x:c r="F52" s="22" t="n">
        <x:v>4</x:v>
      </x:c>
      <x:c r="G52" s="22" t="n">
        <x:v>6</x:v>
      </x:c>
      <x:c r="H52" s="22" t="n">
        <x:v>8</x:v>
      </x:c>
      <x:c r="I52" s="11" t="str">
        <x:v>H-sales: คนละองค์กรระหว่างปี; ผลรวมไม่เกิน SAM</x:v>
      </x:c>
      <x:c r="J52" s="3"/>
    </x:row>
    <x:row r="53" ht="34" customHeight="1">
      <x:c r="A53" s="3"/>
      <x:c r="B53" s="3"/>
      <x:c r="C53" s="18" t="str">
        <x:v>A อัตราปิดการขาย</x:v>
      </x:c>
      <x:c r="D53" s="18" t="str">
        <x:v>ต่อโอกาส</x:v>
      </x:c>
      <x:c r="E53" s="19" t="n">
        <x:f>IF(CHOOSE($E$4,ISNUMBER(F53),ISNUMBER(G53),ISNUMBER(H53)),CHOOSE($E$4,F53,G53,H53),"")</x:f>
        <x:v>0.3333333333333333</x:v>
      </x:c>
      <x:c r="F53" s="20" t="n">
        <x:v>0.25</x:v>
      </x:c>
      <x:c r="G53" s="20" t="n">
        <x:v>0.3333333333333333</x:v>
      </x:c>
      <x:c r="H53" s="20" t="n">
        <x:v>0.5</x:v>
      </x:c>
      <x:c r="I53" s="11" t="str">
        <x:v>H-sales: ใช้กับจำนวนรายที่ qualify ในปีนั้น</x:v>
      </x:c>
      <x:c r="J53" s="3"/>
    </x:row>
    <x:row r="54" ht="34" customHeight="1">
      <x:c r="A54" s="3"/>
      <x:c r="B54" s="3"/>
      <x:c r="C54" s="3" t="str">
        <x:v>A เพดานเริ่มลูกค้าใหม่</x:v>
      </x:c>
      <x:c r="D54" s="3" t="n">
        <x:v>2027</x:v>
      </x:c>
      <x:c r="E54" s="21" t="n">
        <x:f>IF(CHOOSE($E$4,ISNUMBER(F54),ISNUMBER(G54),ISNUMBER(H54)),CHOOSE($E$4,F54,G54,H54),"")</x:f>
        <x:v>2</x:v>
      </x:c>
      <x:c r="F54" s="22" t="n">
        <x:v>1</x:v>
      </x:c>
      <x:c r="G54" s="22" t="n">
        <x:v>2</x:v>
      </x:c>
      <x:c r="H54" s="22" t="n">
        <x:v>3</x:v>
      </x:c>
      <x:c r="I54" s="11" t="str">
        <x:v>H-team: สมมติทีมเล็กขาย/ติดตั้งเอง</x:v>
      </x:c>
      <x:c r="J54" s="3"/>
    </x:row>
    <x:row r="55" ht="34" customHeight="1">
      <x:c r="A55" s="3"/>
      <x:c r="B55" s="3"/>
      <x:c r="C55" s="3" t="str">
        <x:v>A เพดานเริ่มลูกค้าใหม่</x:v>
      </x:c>
      <x:c r="D55" s="3" t="n">
        <x:v>2028</x:v>
      </x:c>
      <x:c r="E55" s="21" t="n">
        <x:f>IF(CHOOSE($E$4,ISNUMBER(F55),ISNUMBER(G55),ISNUMBER(H55)),CHOOSE($E$4,F55,G55,H55),"")</x:f>
        <x:v>3</x:v>
      </x:c>
      <x:c r="F55" s="22" t="n">
        <x:v>2</x:v>
      </x:c>
      <x:c r="G55" s="22" t="n">
        <x:v>3</x:v>
      </x:c>
      <x:c r="H55" s="22" t="n">
        <x:v>4</x:v>
      </x:c>
      <x:c r="I55" s="11" t="str">
        <x:v>H-team: สมมติทีมเล็กขาย/ติดตั้งเอง</x:v>
      </x:c>
      <x:c r="J55" s="3"/>
    </x:row>
    <x:row r="56" ht="34" customHeight="1">
      <x:c r="A56" s="3"/>
      <x:c r="B56" s="3"/>
      <x:c r="C56" s="3" t="str">
        <x:v>A เพดานเริ่มลูกค้าใหม่</x:v>
      </x:c>
      <x:c r="D56" s="3" t="n">
        <x:v>2029</x:v>
      </x:c>
      <x:c r="E56" s="21" t="n">
        <x:f>IF(CHOOSE($E$4,ISNUMBER(F56),ISNUMBER(G56),ISNUMBER(H56)),CHOOSE($E$4,F56,G56,H56),"")</x:f>
        <x:v>4</x:v>
      </x:c>
      <x:c r="F56" s="22" t="n">
        <x:v>2</x:v>
      </x:c>
      <x:c r="G56" s="22" t="n">
        <x:v>4</x:v>
      </x:c>
      <x:c r="H56" s="22" t="n">
        <x:v>5</x:v>
      </x:c>
      <x:c r="I56" s="11" t="str">
        <x:v>H-team: สมมติทีมเล็กขาย/ติดตั้งเอง</x:v>
      </x:c>
      <x:c r="J56" s="3"/>
    </x:row>
    <x:row r="57" ht="34" customHeight="1">
      <x:c r="A57" s="3"/>
      <x:c r="B57" s="3"/>
      <x:c r="C57" s="3"/>
      <x:c r="D57" s="3"/>
      <x:c r="E57" s="3"/>
      <x:c r="F57" s="3"/>
      <x:c r="G57" s="3"/>
      <x:c r="H57" s="3"/>
      <x:c r="I57" s="11"/>
      <x:c r="J57" s="3"/>
    </x:row>
    <x:row r="58" ht="34" customHeight="1">
      <x:c r="A58" s="3"/>
      <x:c r="B58" s="3"/>
      <x:c r="C58" s="3"/>
      <x:c r="D58" s="3"/>
      <x:c r="E58" s="3"/>
      <x:c r="F58" s="3"/>
      <x:c r="G58" s="3"/>
      <x:c r="H58" s="3"/>
      <x:c r="I58" s="11"/>
      <x:c r="J58" s="3"/>
    </x:row>
    <x:row r="59" ht="34" customHeight="1">
      <x:c r="A59" s="3"/>
      <x:c r="B59" s="3"/>
      <x:c r="C59" s="3"/>
      <x:c r="D59" s="3"/>
      <x:c r="E59" s="3"/>
      <x:c r="F59" s="3"/>
      <x:c r="G59" s="3"/>
      <x:c r="H59" s="3"/>
      <x:c r="I59" s="11"/>
      <x:c r="J59" s="3"/>
    </x:row>
    <x:row r="60" ht="34" customHeight="1">
      <x:c r="A60" s="3"/>
      <x:c r="B60" s="3"/>
      <x:c r="C60" s="3" t="str">
        <x:v>B องค์กรใหม่ที่ qualify ได้</x:v>
      </x:c>
      <x:c r="D60" s="3" t="n">
        <x:v>2027</x:v>
      </x:c>
      <x:c r="E60" s="21" t="n">
        <x:f>IF(CHOOSE($E$4,ISNUMBER(F60),ISNUMBER(G60),ISNUMBER(H60)),CHOOSE($E$4,F60,G60,H60),"")</x:f>
        <x:v>2</x:v>
      </x:c>
      <x:c r="F60" s="22" t="n">
        <x:v>1</x:v>
      </x:c>
      <x:c r="G60" s="22" t="n">
        <x:v>2</x:v>
      </x:c>
      <x:c r="H60" s="22" t="n">
        <x:v>3</x:v>
      </x:c>
      <x:c r="I60" s="11" t="str">
        <x:v>H-sales: คนละองค์กรระหว่างปี; ผลรวมไม่เกิน SAM</x:v>
      </x:c>
      <x:c r="J60" s="3"/>
    </x:row>
    <x:row r="61" ht="34" customHeight="1">
      <x:c r="A61" s="3"/>
      <x:c r="B61" s="3"/>
      <x:c r="C61" s="3" t="str">
        <x:v>B องค์กรใหม่ที่ qualify ได้</x:v>
      </x:c>
      <x:c r="D61" s="3" t="n">
        <x:v>2028</x:v>
      </x:c>
      <x:c r="E61" s="21" t="n">
        <x:f>IF(CHOOSE($E$4,ISNUMBER(F61),ISNUMBER(G61),ISNUMBER(H61)),CHOOSE($E$4,F61,G61,H61),"")</x:f>
        <x:v>2</x:v>
      </x:c>
      <x:c r="F61" s="22" t="n">
        <x:v>1</x:v>
      </x:c>
      <x:c r="G61" s="22" t="n">
        <x:v>2</x:v>
      </x:c>
      <x:c r="H61" s="22" t="n">
        <x:v>3</x:v>
      </x:c>
      <x:c r="I61" s="11" t="str">
        <x:v>H-sales: คนละองค์กรระหว่างปี; ผลรวมไม่เกิน SAM</x:v>
      </x:c>
      <x:c r="J61" s="3"/>
    </x:row>
    <x:row r="62" ht="34" customHeight="1">
      <x:c r="A62" s="3"/>
      <x:c r="B62" s="3"/>
      <x:c r="C62" s="3" t="str">
        <x:v>B องค์กรใหม่ที่ qualify ได้</x:v>
      </x:c>
      <x:c r="D62" s="3" t="n">
        <x:v>2029</x:v>
      </x:c>
      <x:c r="E62" s="21" t="n">
        <x:f>IF(CHOOSE($E$4,ISNUMBER(F62),ISNUMBER(G62),ISNUMBER(H62)),CHOOSE($E$4,F62,G62,H62),"")</x:f>
        <x:v>1</x:v>
      </x:c>
      <x:c r="F62" s="22" t="n">
        <x:v>1</x:v>
      </x:c>
      <x:c r="G62" s="22" t="n">
        <x:v>1</x:v>
      </x:c>
      <x:c r="H62" s="22" t="n">
        <x:v>2</x:v>
      </x:c>
      <x:c r="I62" s="11" t="str">
        <x:v>H-sales: คนละองค์กรระหว่างปี; ผลรวมไม่เกิน SAM</x:v>
      </x:c>
      <x:c r="J62" s="3"/>
    </x:row>
    <x:row r="63" ht="34" customHeight="1">
      <x:c r="A63" s="3"/>
      <x:c r="B63" s="3"/>
      <x:c r="C63" s="18" t="str">
        <x:v>B อัตราปิดการขาย</x:v>
      </x:c>
      <x:c r="D63" s="18" t="str">
        <x:v>ต่อโอกาส</x:v>
      </x:c>
      <x:c r="E63" s="19" t="n">
        <x:f>IF(CHOOSE($E$4,ISNUMBER(F63),ISNUMBER(G63),ISNUMBER(H63)),CHOOSE($E$4,F63,G63,H63),"")</x:f>
        <x:v>0.5</x:v>
      </x:c>
      <x:c r="F63" s="20" t="n">
        <x:v>0.33</x:v>
      </x:c>
      <x:c r="G63" s="20" t="n">
        <x:v>0.5</x:v>
      </x:c>
      <x:c r="H63" s="20" t="n">
        <x:v>0.6</x:v>
      </x:c>
      <x:c r="I63" s="11" t="str">
        <x:v>H-sales: ใช้กับจำนวนรายที่ qualify ในปีนั้น</x:v>
      </x:c>
      <x:c r="J63" s="3"/>
    </x:row>
    <x:row r="64" ht="34" customHeight="1">
      <x:c r="A64" s="3"/>
      <x:c r="B64" s="3"/>
      <x:c r="C64" s="3" t="str">
        <x:v>B เพดานเริ่มลูกค้าใหม่</x:v>
      </x:c>
      <x:c r="D64" s="3" t="n">
        <x:v>2027</x:v>
      </x:c>
      <x:c r="E64" s="21" t="n">
        <x:f>IF(CHOOSE($E$4,ISNUMBER(F64),ISNUMBER(G64),ISNUMBER(H64)),CHOOSE($E$4,F64,G64,H64),"")</x:f>
        <x:v>1</x:v>
      </x:c>
      <x:c r="F64" s="22" t="n">
        <x:v>1</x:v>
      </x:c>
      <x:c r="G64" s="22" t="n">
        <x:v>1</x:v>
      </x:c>
      <x:c r="H64" s="22" t="n">
        <x:v>2</x:v>
      </x:c>
      <x:c r="I64" s="11" t="str">
        <x:v>H-team: สมมติทีมเล็กขาย/ติดตั้งเอง</x:v>
      </x:c>
      <x:c r="J64" s="3"/>
    </x:row>
    <x:row r="65" ht="34" customHeight="1">
      <x:c r="A65" s="3"/>
      <x:c r="B65" s="3"/>
      <x:c r="C65" s="3" t="str">
        <x:v>B เพดานเริ่มลูกค้าใหม่</x:v>
      </x:c>
      <x:c r="D65" s="3" t="n">
        <x:v>2028</x:v>
      </x:c>
      <x:c r="E65" s="21" t="n">
        <x:f>IF(CHOOSE($E$4,ISNUMBER(F65),ISNUMBER(G65),ISNUMBER(H65)),CHOOSE($E$4,F65,G65,H65),"")</x:f>
        <x:v>2</x:v>
      </x:c>
      <x:c r="F65" s="22" t="n">
        <x:v>1</x:v>
      </x:c>
      <x:c r="G65" s="22" t="n">
        <x:v>2</x:v>
      </x:c>
      <x:c r="H65" s="22" t="n">
        <x:v>2</x:v>
      </x:c>
      <x:c r="I65" s="11" t="str">
        <x:v>H-team: สมมติทีมเล็กขาย/ติดตั้งเอง</x:v>
      </x:c>
      <x:c r="J65" s="3"/>
    </x:row>
    <x:row r="66" ht="34" customHeight="1">
      <x:c r="A66" s="3"/>
      <x:c r="B66" s="3"/>
      <x:c r="C66" s="3" t="str">
        <x:v>B เพดานเริ่มลูกค้าใหม่</x:v>
      </x:c>
      <x:c r="D66" s="3" t="n">
        <x:v>2029</x:v>
      </x:c>
      <x:c r="E66" s="21" t="n">
        <x:f>IF(CHOOSE($E$4,ISNUMBER(F66),ISNUMBER(G66),ISNUMBER(H66)),CHOOSE($E$4,F66,G66,H66),"")</x:f>
        <x:v>2</x:v>
      </x:c>
      <x:c r="F66" s="22" t="n">
        <x:v>1</x:v>
      </x:c>
      <x:c r="G66" s="22" t="n">
        <x:v>2</x:v>
      </x:c>
      <x:c r="H66" s="22" t="n">
        <x:v>3</x:v>
      </x:c>
      <x:c r="I66" s="11" t="str">
        <x:v>H-team: สมมติทีมเล็กขาย/ติดตั้งเอง</x:v>
      </x:c>
      <x:c r="J66" s="3"/>
    </x:row>
    <x:row r="67" ht="34" customHeight="1">
      <x:c r="A67" s="3"/>
      <x:c r="B67" s="3"/>
      <x:c r="C67" s="3"/>
      <x:c r="D67" s="3"/>
      <x:c r="E67" s="3"/>
      <x:c r="F67" s="3"/>
      <x:c r="G67" s="3"/>
      <x:c r="H67" s="3"/>
      <x:c r="I67" s="11"/>
      <x:c r="J67" s="3"/>
    </x:row>
    <x:row r="68" ht="34" customHeight="1">
      <x:c r="A68" s="3"/>
      <x:c r="B68" s="3"/>
      <x:c r="C68" s="3"/>
      <x:c r="D68" s="3"/>
      <x:c r="E68" s="3"/>
      <x:c r="F68" s="3"/>
      <x:c r="G68" s="3"/>
      <x:c r="H68" s="3"/>
      <x:c r="I68" s="11"/>
      <x:c r="J68" s="3"/>
    </x:row>
    <x:row r="69" ht="34" customHeight="1">
      <x:c r="A69" s="3"/>
      <x:c r="B69" s="3"/>
      <x:c r="C69" s="3"/>
      <x:c r="D69" s="3"/>
      <x:c r="E69" s="3"/>
      <x:c r="F69" s="3"/>
      <x:c r="G69" s="3"/>
      <x:c r="H69" s="3"/>
      <x:c r="I69" s="11"/>
      <x:c r="J69" s="3"/>
    </x:row>
    <x:row r="70" ht="34" customHeight="1">
      <x:c r="A70" s="3"/>
      <x:c r="B70" s="3"/>
      <x:c r="C70" s="3" t="str">
        <x:v>C องค์กรใหม่ที่ qualify ได้</x:v>
      </x:c>
      <x:c r="D70" s="3" t="n">
        <x:v>2027</x:v>
      </x:c>
      <x:c r="E70" s="21" t="n">
        <x:f>IF(CHOOSE($E$4,ISNUMBER(F70),ISNUMBER(G70),ISNUMBER(H70)),CHOOSE($E$4,F70,G70,H70),"")</x:f>
        <x:v>6</x:v>
      </x:c>
      <x:c r="F70" s="22" t="n">
        <x:v>4</x:v>
      </x:c>
      <x:c r="G70" s="22" t="n">
        <x:v>6</x:v>
      </x:c>
      <x:c r="H70" s="22" t="n">
        <x:v>8</x:v>
      </x:c>
      <x:c r="I70" s="11" t="str">
        <x:v>H-sales: คนละองค์กรระหว่างปี; ผลรวมไม่เกิน SAM</x:v>
      </x:c>
      <x:c r="J70" s="3"/>
    </x:row>
    <x:row r="71" ht="34" customHeight="1">
      <x:c r="A71" s="3"/>
      <x:c r="B71" s="3"/>
      <x:c r="C71" s="3" t="str">
        <x:v>C องค์กรใหม่ที่ qualify ได้</x:v>
      </x:c>
      <x:c r="D71" s="3" t="n">
        <x:v>2028</x:v>
      </x:c>
      <x:c r="E71" s="21" t="n">
        <x:f>IF(CHOOSE($E$4,ISNUMBER(F71),ISNUMBER(G71),ISNUMBER(H71)),CHOOSE($E$4,F71,G71,H71),"")</x:f>
        <x:v>6</x:v>
      </x:c>
      <x:c r="F71" s="22" t="n">
        <x:v>4</x:v>
      </x:c>
      <x:c r="G71" s="22" t="n">
        <x:v>6</x:v>
      </x:c>
      <x:c r="H71" s="22" t="n">
        <x:v>8</x:v>
      </x:c>
      <x:c r="I71" s="11" t="str">
        <x:v>H-sales: คนละองค์กรระหว่างปี; ผลรวมไม่เกิน SAM</x:v>
      </x:c>
      <x:c r="J71" s="3"/>
    </x:row>
    <x:row r="72" ht="34" customHeight="1">
      <x:c r="A72" s="3"/>
      <x:c r="B72" s="3"/>
      <x:c r="C72" s="3" t="str">
        <x:v>C องค์กรใหม่ที่ qualify ได้</x:v>
      </x:c>
      <x:c r="D72" s="3" t="n">
        <x:v>2029</x:v>
      </x:c>
      <x:c r="E72" s="21" t="n">
        <x:f>IF(CHOOSE($E$4,ISNUMBER(F72),ISNUMBER(G72),ISNUMBER(H72)),CHOOSE($E$4,F72,G72,H72),"")</x:f>
        <x:v>6</x:v>
      </x:c>
      <x:c r="F72" s="22" t="n">
        <x:v>4</x:v>
      </x:c>
      <x:c r="G72" s="22" t="n">
        <x:v>6</x:v>
      </x:c>
      <x:c r="H72" s="22" t="n">
        <x:v>8</x:v>
      </x:c>
      <x:c r="I72" s="11" t="str">
        <x:v>H-sales: คนละองค์กรระหว่างปี; ผลรวมไม่เกิน SAM</x:v>
      </x:c>
      <x:c r="J72" s="3"/>
    </x:row>
    <x:row r="73" ht="34" customHeight="1">
      <x:c r="A73" s="3"/>
      <x:c r="B73" s="3"/>
      <x:c r="C73" s="18" t="str">
        <x:v>C อัตราปิดการขาย</x:v>
      </x:c>
      <x:c r="D73" s="18" t="str">
        <x:v>ต่อโอกาส</x:v>
      </x:c>
      <x:c r="E73" s="19" t="n">
        <x:f>IF(CHOOSE($E$4,ISNUMBER(F73),ISNUMBER(G73),ISNUMBER(H73)),CHOOSE($E$4,F73,G73,H73),"")</x:f>
        <x:v>0.25</x:v>
      </x:c>
      <x:c r="F73" s="20" t="n">
        <x:v>0.15</x:v>
      </x:c>
      <x:c r="G73" s="20" t="n">
        <x:v>0.25</x:v>
      </x:c>
      <x:c r="H73" s="20" t="n">
        <x:v>0.4</x:v>
      </x:c>
      <x:c r="I73" s="11" t="str">
        <x:v>H-sales: ใช้กับจำนวนรายที่ qualify ในปีนั้น</x:v>
      </x:c>
      <x:c r="J73" s="3"/>
    </x:row>
    <x:row r="74" ht="34" customHeight="1">
      <x:c r="A74" s="3"/>
      <x:c r="B74" s="3"/>
      <x:c r="C74" s="3" t="str">
        <x:v>C เพดานเริ่มลูกค้าใหม่</x:v>
      </x:c>
      <x:c r="D74" s="3" t="n">
        <x:v>2027</x:v>
      </x:c>
      <x:c r="E74" s="21" t="n">
        <x:f>IF(CHOOSE($E$4,ISNUMBER(F74),ISNUMBER(G74),ISNUMBER(H74)),CHOOSE($E$4,F74,G74,H74),"")</x:f>
        <x:v>2</x:v>
      </x:c>
      <x:c r="F74" s="22" t="n">
        <x:v>1</x:v>
      </x:c>
      <x:c r="G74" s="22" t="n">
        <x:v>2</x:v>
      </x:c>
      <x:c r="H74" s="22" t="n">
        <x:v>3</x:v>
      </x:c>
      <x:c r="I74" s="11" t="str">
        <x:v>H-team: สมมติทีมเล็กขาย/ติดตั้งเอง</x:v>
      </x:c>
      <x:c r="J74" s="3"/>
    </x:row>
    <x:row r="75" ht="34" customHeight="1">
      <x:c r="A75" s="3"/>
      <x:c r="B75" s="3"/>
      <x:c r="C75" s="3" t="str">
        <x:v>C เพดานเริ่มลูกค้าใหม่</x:v>
      </x:c>
      <x:c r="D75" s="3" t="n">
        <x:v>2028</x:v>
      </x:c>
      <x:c r="E75" s="21" t="n">
        <x:f>IF(CHOOSE($E$4,ISNUMBER(F75),ISNUMBER(G75),ISNUMBER(H75)),CHOOSE($E$4,F75,G75,H75),"")</x:f>
        <x:v>3</x:v>
      </x:c>
      <x:c r="F75" s="22" t="n">
        <x:v>2</x:v>
      </x:c>
      <x:c r="G75" s="22" t="n">
        <x:v>3</x:v>
      </x:c>
      <x:c r="H75" s="22" t="n">
        <x:v>4</x:v>
      </x:c>
      <x:c r="I75" s="11" t="str">
        <x:v>H-team: สมมติทีมเล็กขาย/ติดตั้งเอง</x:v>
      </x:c>
      <x:c r="J75" s="3"/>
    </x:row>
    <x:row r="76" ht="34" customHeight="1">
      <x:c r="A76" s="3"/>
      <x:c r="B76" s="3"/>
      <x:c r="C76" s="3" t="str">
        <x:v>C เพดานเริ่มลูกค้าใหม่</x:v>
      </x:c>
      <x:c r="D76" s="3" t="n">
        <x:v>2029</x:v>
      </x:c>
      <x:c r="E76" s="21" t="n">
        <x:f>IF(CHOOSE($E$4,ISNUMBER(F76),ISNUMBER(G76),ISNUMBER(H76)),CHOOSE($E$4,F76,G76,H76),"")</x:f>
        <x:v>4</x:v>
      </x:c>
      <x:c r="F76" s="22" t="n">
        <x:v>2</x:v>
      </x:c>
      <x:c r="G76" s="22" t="n">
        <x:v>4</x:v>
      </x:c>
      <x:c r="H76" s="22" t="n">
        <x:v>4</x:v>
      </x:c>
      <x:c r="I76" s="11" t="str">
        <x:v>H-team: สมมติทีมเล็กขาย/ติดตั้งเอง</x:v>
      </x:c>
      <x:c r="J76" s="3"/>
    </x:row>
    <x:row r="77" ht="23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</x:row>
    <x:row r="78" ht="23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</x:row>
    <x:row r="79" ht="23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</x:row>
    <x:row r="80" ht="23" customHeight="1">
      <x:c r="A80" s="3"/>
      <x:c r="B80" s="3"/>
      <x:c r="C80" s="3" t="str">
        <x:v>ขอบเขต TAM A/C 48 รายอาจลดเมื่อรวมงบในกลุ่มบริษัทหรือพบ use case ไม่ตรง</x:v>
      </x:c>
      <x:c r="D80" s="3"/>
      <x:c r="E80" s="3"/>
      <x:c r="F80" s="3"/>
      <x:c r="G80" s="3"/>
      <x:c r="H80" s="3"/>
      <x:c r="I80" s="3"/>
      <x:c r="J80" s="3"/>
    </x:row>
    <x:row r="81" ht="23" customHeight="1">
      <x:c r="A81" s="3"/>
      <x:c r="B81" s="3"/>
      <x:c r="C81" s="3" t="str">
        <x:v>B มีรายชื่อ 9 กลุ่มที่ค้นพบ ยังไม่ใช่ทะเบียนแพลตฟอร์มงานทั้งประเทศ</x:v>
      </x:c>
      <x:c r="D81" s="3"/>
      <x:c r="E81" s="3"/>
      <x:c r="F81" s="3"/>
      <x:c r="G81" s="3"/>
      <x:c r="H81" s="3"/>
      <x:c r="I81" s="3"/>
      <x:c r="J81" s="3"/>
    </x:row>
    <x:row r="82" ht="23" customHeight="1">
      <x:c r="A82" s="3"/>
      <x:c r="B82" s="3"/>
      <x:c r="C82" s="3" t="str">
        <x:v>ปี 2027–2029 เป็นช่วงสมมติเริ่มขายหลังวิจัย ไม่ใช่คำมั่นว่าจะมีรายได้</x:v>
      </x:c>
      <x:c r="D82" s="3"/>
      <x:c r="E82" s="3"/>
      <x:c r="F82" s="3"/>
      <x:c r="G82" s="3"/>
      <x:c r="H82" s="3"/>
      <x:c r="I82" s="3"/>
      <x:c r="J82" s="3"/>
    </x:row>
    <x:row r="83" ht="23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</x:row>
    <x:row r="84" ht="23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</x:row>
  </x:sheetData>
  <x:dataValidations count="1">
    <x:dataValidation type="whole" operator="between" sqref="E4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30" hidden="0" customWidth="1"/>
    <x:col min="10" max="10" width="30" hidden="0" customWidth="1"/>
  </x:cols>
  <x:sheetData>
    <x:row r="1" ht="23" customHeight="1">
      <x:c r="A1" s="3"/>
      <x:c r="B1" s="3"/>
      <x:c r="C1" s="6" t="str">
        <x:v>คำนวณตลาดและรายได้สามปี</x:v>
      </x:c>
      <x:c r="D1" s="6"/>
      <x:c r="E1" s="6"/>
      <x:c r="F1" s="6"/>
      <x:c r="G1" s="6"/>
      <x:c r="H1" s="6"/>
      <x:c r="I1" s="3"/>
      <x:c r="J1" s="3"/>
    </x:row>
    <x:row r="2" ht="23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23" customHeight="1">
      <x:c r="A3" s="3"/>
      <x:c r="B3" s="3"/>
      <x:c r="C3" s="3" t="str">
        <x:v>รายได้ประจำปลายปี (ARR) ต่างจากรายได้ระหว่างปี</x:v>
      </x:c>
      <x:c r="D3" s="3"/>
      <x:c r="E3" s="3"/>
      <x:c r="F3" s="3"/>
      <x:c r="G3" s="3"/>
      <x:c r="H3" s="3"/>
      <x:c r="I3" s="3"/>
      <x:c r="J3" s="3"/>
    </x:row>
    <x:row r="4" ht="23" customHeight="1">
      <x:c r="A4" s="3"/>
      <x:c r="B4" s="3"/>
      <x:c r="C4" s="3" t="str">
        <x:v>ตัวเลขลูกค้าที่ต่ออายุเป็นค่าคาดหมาย จึงมีทศนิยม</x:v>
      </x:c>
      <x:c r="D4" s="3"/>
      <x:c r="E4" s="3"/>
      <x:c r="F4" s="13" t="str">
        <x:f>Inputs!F4</x:f>
        <x:v>ฐาน</x:v>
      </x:c>
      <x:c r="G4" s="3"/>
      <x:c r="H4" s="3"/>
      <x:c r="I4" s="3"/>
      <x:c r="J4" s="3"/>
    </x:row>
    <x:row r="5" ht="23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23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</x:row>
    <x:row r="7" ht="23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</x:row>
    <x:row r="8" ht="23" customHeight="1">
      <x:c r="A8" s="3"/>
      <x:c r="B8" s="3"/>
      <x:c r="C8" s="6" t="str">
        <x:v>A เตรียมหลักฐานทบทวนบัญชี</x:v>
      </x:c>
      <x:c r="D8" s="6"/>
      <x:c r="E8" s="6"/>
      <x:c r="F8" s="6"/>
      <x:c r="G8" s="6"/>
      <x:c r="H8" s="6"/>
      <x:c r="I8" s="3"/>
      <x:c r="J8" s="3"/>
    </x:row>
    <x:row r="9" ht="23" customHeight="1">
      <x:c r="A9" s="3"/>
      <x:c r="B9" s="3"/>
      <x:c r="C9" s="3" t="str">
        <x:v>ผู้ซื้อในขอบเขต TAM</x:v>
      </x:c>
      <x:c r="D9" s="3"/>
      <x:c r="E9" s="3"/>
      <x:c r="F9" s="23" t="n">
        <x:f>Inputs!E9</x:f>
        <x:v>48</x:v>
      </x:c>
      <x:c r="G9" s="24"/>
      <x:c r="H9" s="24"/>
      <x:c r="I9" s="3"/>
      <x:c r="J9" s="3"/>
    </x:row>
    <x:row r="10" ht="23" customHeight="1">
      <x:c r="A10" s="3"/>
      <x:c r="B10" s="3"/>
      <x:c r="C10" s="3" t="str">
        <x:v>ราคาต่อองค์กร (THB/ปี)</x:v>
      </x:c>
      <x:c r="D10" s="3"/>
      <x:c r="E10" s="3"/>
      <x:c r="F10" s="23" t="n">
        <x:f>Inputs!E11</x:f>
        <x:v>1200000</x:v>
      </x:c>
      <x:c r="G10" s="24"/>
      <x:c r="H10" s="24"/>
      <x:c r="I10" s="3"/>
      <x:c r="J10" s="3"/>
    </x:row>
    <x:row r="11" ht="23" customHeight="1">
      <x:c r="A11" s="3"/>
      <x:c r="B11" s="3"/>
      <x:c r="C11" s="8" t="str">
        <x:v>TAM (THB/ปี)</x:v>
      </x:c>
      <x:c r="D11" s="8"/>
      <x:c r="E11" s="8"/>
      <x:c r="F11" s="29" t="n">
        <x:f>IF(Inputs!E11="","n.a.",F9*F10)</x:f>
        <x:v>57600000</x:v>
      </x:c>
      <x:c r="G11" s="30"/>
      <x:c r="H11" s="30"/>
      <x:c r="I11" s="3"/>
      <x:c r="J11" s="3"/>
    </x:row>
    <x:row r="12" ht="23" customHeight="1">
      <x:c r="A12" s="3"/>
      <x:c r="B12" s="3"/>
      <x:c r="C12" s="3" t="str">
        <x:v>SAM ที่รองรับได้ (องค์กร)</x:v>
      </x:c>
      <x:c r="D12" s="3"/>
      <x:c r="E12" s="3"/>
      <x:c r="F12" s="23" t="n">
        <x:f>Inputs!E10</x:f>
        <x:v>18</x:v>
      </x:c>
      <x:c r="G12" s="24"/>
      <x:c r="H12" s="24"/>
      <x:c r="I12" s="3"/>
      <x:c r="J12" s="3"/>
    </x:row>
    <x:row r="13" ht="23" customHeight="1">
      <x:c r="A13" s="3"/>
      <x:c r="B13" s="3"/>
      <x:c r="C13" s="8" t="str">
        <x:v>SAM (THB/ปี)</x:v>
      </x:c>
      <x:c r="D13" s="8"/>
      <x:c r="E13" s="8"/>
      <x:c r="F13" s="29" t="n">
        <x:f>IF(Inputs!E11="","n.a.",F12*F10)</x:f>
        <x:v>21600000</x:v>
      </x:c>
      <x:c r="G13" s="30"/>
      <x:c r="H13" s="30"/>
      <x:c r="I13" s="3"/>
      <x:c r="J13" s="3"/>
    </x:row>
    <x:row r="14" ht="23" customHeight="1">
      <x:c r="A14" s="3"/>
      <x:c r="B14" s="3"/>
      <x:c r="C14" s="3"/>
      <x:c r="D14" s="3"/>
      <x:c r="E14" s="3"/>
      <x:c r="F14" s="24"/>
      <x:c r="G14" s="24"/>
      <x:c r="H14" s="24"/>
      <x:c r="I14" s="3"/>
      <x:c r="J14" s="3"/>
    </x:row>
    <x:row r="15" ht="23" customHeight="1">
      <x:c r="A15" s="3"/>
      <x:c r="B15" s="3"/>
      <x:c r="C15" s="3"/>
      <x:c r="D15" s="3"/>
      <x:c r="E15" s="3"/>
      <x:c r="F15" s="25" t="n">
        <x:v>2027</x:v>
      </x:c>
      <x:c r="G15" s="25" t="n">
        <x:v>2028</x:v>
      </x:c>
      <x:c r="H15" s="25" t="n">
        <x:v>2029</x:v>
      </x:c>
      <x:c r="I15" s="3"/>
      <x:c r="J15" s="3"/>
    </x:row>
    <x:row r="16" ht="23" customHeight="1">
      <x:c r="A16" s="3"/>
      <x:c r="B16" s="3"/>
      <x:c r="C16" s="3" t="str">
        <x:v>ลูกค้าต้นปี</x:v>
      </x:c>
      <x:c r="D16" s="3"/>
      <x:c r="E16" s="3"/>
      <x:c r="F16" s="14" t="n">
        <x:f>0</x:f>
        <x:v>0</x:v>
      </x:c>
      <x:c r="G16" s="14" t="n">
        <x:f>F25</x:f>
        <x:v>2</x:v>
      </x:c>
      <x:c r="H16" s="14" t="n">
        <x:f>G25</x:f>
        <x:v>3.8</x:v>
      </x:c>
      <x:c r="I16" s="3"/>
      <x:c r="J16" s="3"/>
    </x:row>
    <x:row r="17" ht="23" customHeight="1">
      <x:c r="A17" s="3"/>
      <x:c r="B17" s="3"/>
      <x:c r="C17" s="18" t="str">
        <x:v>อัตราต่ออายุ</x:v>
      </x:c>
      <x:c r="D17" s="18"/>
      <x:c r="E17" s="18"/>
      <x:c r="F17" s="38" t="n">
        <x:f>Inputs!E15</x:f>
        <x:v>0.9</x:v>
      </x:c>
      <x:c r="G17" s="38" t="n">
        <x:f>Inputs!E15</x:f>
        <x:v>0.9</x:v>
      </x:c>
      <x:c r="H17" s="38" t="n">
        <x:f>Inputs!E15</x:f>
        <x:v>0.9</x:v>
      </x:c>
      <x:c r="I17" s="3"/>
      <x:c r="J17" s="3"/>
    </x:row>
    <x:row r="18" ht="23" customHeight="1">
      <x:c r="A18" s="3"/>
      <x:c r="B18" s="3"/>
      <x:c r="C18" s="3" t="str">
        <x:v>ลูกค้าคงเหลือหลังต่ออายุ</x:v>
      </x:c>
      <x:c r="D18" s="3"/>
      <x:c r="E18" s="3"/>
      <x:c r="F18" s="14" t="n">
        <x:f>F16*F17</x:f>
        <x:v>0</x:v>
      </x:c>
      <x:c r="G18" s="14" t="n">
        <x:f>G16*G17</x:f>
        <x:v>1.8</x:v>
      </x:c>
      <x:c r="H18" s="14" t="n">
        <x:f>H16*H17</x:f>
        <x:v>3.42</x:v>
      </x:c>
      <x:c r="I18" s="3"/>
      <x:c r="J18" s="3"/>
    </x:row>
    <x:row r="19" ht="23" customHeight="1">
      <x:c r="A19" s="3"/>
      <x:c r="B19" s="3"/>
      <x:c r="C19" s="3" t="str">
        <x:v>องค์กรใหม่ที่ qualify ได้</x:v>
      </x:c>
      <x:c r="D19" s="3"/>
      <x:c r="E19" s="3"/>
      <x:c r="F19" s="23" t="n">
        <x:f>Inputs!E50</x:f>
        <x:v>6</x:v>
      </x:c>
      <x:c r="G19" s="23" t="n">
        <x:f>Inputs!E51</x:f>
        <x:v>6</x:v>
      </x:c>
      <x:c r="H19" s="23" t="n">
        <x:f>Inputs!E52</x:f>
        <x:v>6</x:v>
      </x:c>
      <x:c r="I19" s="3"/>
      <x:c r="J19" s="3"/>
    </x:row>
    <x:row r="20" ht="23" customHeight="1">
      <x:c r="A20" s="3"/>
      <x:c r="B20" s="3"/>
      <x:c r="C20" s="18" t="str">
        <x:v>อัตราปิดการขาย</x:v>
      </x:c>
      <x:c r="D20" s="18"/>
      <x:c r="E20" s="18"/>
      <x:c r="F20" s="38" t="n">
        <x:f>Inputs!E53</x:f>
        <x:v>0.3333333333333333</x:v>
      </x:c>
      <x:c r="G20" s="38" t="n">
        <x:f>Inputs!E53</x:f>
        <x:v>0.3333333333333333</x:v>
      </x:c>
      <x:c r="H20" s="38" t="n">
        <x:f>Inputs!E53</x:f>
        <x:v>0.3333333333333333</x:v>
      </x:c>
      <x:c r="I20" s="3"/>
      <x:c r="J20" s="3"/>
    </x:row>
    <x:row r="21" ht="23" customHeight="1">
      <x:c r="A21" s="3"/>
      <x:c r="B21" s="3"/>
      <x:c r="C21" s="3" t="str">
        <x:v>รายที่ขายได้ก่อนจำกัดกำลัง</x:v>
      </x:c>
      <x:c r="D21" s="3"/>
      <x:c r="E21" s="3"/>
      <x:c r="F21" s="14" t="n">
        <x:f>ROUNDDOWN(F19*F20,0)</x:f>
        <x:v>2</x:v>
      </x:c>
      <x:c r="G21" s="14" t="n">
        <x:f>ROUNDDOWN(G19*G20,0)</x:f>
        <x:v>2</x:v>
      </x:c>
      <x:c r="H21" s="14" t="n">
        <x:f>ROUNDDOWN(H19*H20,0)</x:f>
        <x:v>2</x:v>
      </x:c>
      <x:c r="I21" s="3"/>
      <x:c r="J21" s="3"/>
    </x:row>
    <x:row r="22" ht="23" customHeight="1">
      <x:c r="A22" s="3"/>
      <x:c r="B22" s="3"/>
      <x:c r="C22" s="3" t="str">
        <x:v>เพดานเริ่มลูกค้าใหม่</x:v>
      </x:c>
      <x:c r="D22" s="3"/>
      <x:c r="E22" s="3"/>
      <x:c r="F22" s="23" t="n">
        <x:f>Inputs!E54</x:f>
        <x:v>2</x:v>
      </x:c>
      <x:c r="G22" s="23" t="n">
        <x:f>Inputs!E55</x:f>
        <x:v>3</x:v>
      </x:c>
      <x:c r="H22" s="23" t="n">
        <x:f>Inputs!E56</x:f>
        <x:v>4</x:v>
      </x:c>
      <x:c r="I22" s="3"/>
      <x:c r="J22" s="3"/>
    </x:row>
    <x:row r="23" ht="23" customHeight="1">
      <x:c r="A23" s="3"/>
      <x:c r="B23" s="3"/>
      <x:c r="C23" s="3" t="str">
        <x:v>เพดานตามชั่วโมงบริการที่เหลือ</x:v>
      </x:c>
      <x:c r="D23" s="3"/>
      <x:c r="E23" s="3"/>
      <x:c r="F23" s="23" t="n">
        <x:f>IF(Inputs!E14+Inputs!E12*12*Inputs!E45=0,0,ROUNDDOWN(MAX(0,Inputs!E46-F18*Inputs!E12*12)/(Inputs!E14+Inputs!E12*12*Inputs!E45),0))</x:f>
        <x:v>7</x:v>
      </x:c>
      <x:c r="G23" s="23" t="n">
        <x:f>IF(Inputs!E14+Inputs!E12*12*Inputs!E45=0,0,ROUNDDOWN(MAX(0,Inputs!E46-G18*Inputs!E12*12)/(Inputs!E14+Inputs!E12*12*Inputs!E45),0))</x:f>
        <x:v>6</x:v>
      </x:c>
      <x:c r="H23" s="23" t="n">
        <x:f>IF(Inputs!E14+Inputs!E12*12*Inputs!E45=0,0,ROUNDDOWN(MAX(0,Inputs!E46-H18*Inputs!E12*12)/(Inputs!E14+Inputs!E12*12*Inputs!E45),0))</x:f>
        <x:v>5</x:v>
      </x:c>
      <x:c r="I23" s="3"/>
      <x:c r="J23" s="3"/>
    </x:row>
    <x:row r="24" ht="23" customHeight="1">
      <x:c r="A24" s="3"/>
      <x:c r="B24" s="3"/>
      <x:c r="C24" s="3" t="str">
        <x:v>ลูกค้าใหม่ที่เริ่มได้จริง</x:v>
      </x:c>
      <x:c r="D24" s="3"/>
      <x:c r="E24" s="3"/>
      <x:c r="F24" s="14" t="n">
        <x:f>MAX(0,MIN(F21,F22,F23,ROUNDDOWN($F12-F18,0)))</x:f>
        <x:v>2</x:v>
      </x:c>
      <x:c r="G24" s="14" t="n">
        <x:f>MAX(0,MIN(G21,G22,G23,ROUNDDOWN($F12-G18,0)))</x:f>
        <x:v>2</x:v>
      </x:c>
      <x:c r="H24" s="14" t="n">
        <x:f>MAX(0,MIN(H21,H22,H23,ROUNDDOWN($F12-H18,0)))</x:f>
        <x:v>2</x:v>
      </x:c>
      <x:c r="I24" s="3"/>
      <x:c r="J24" s="3"/>
    </x:row>
    <x:row r="25" ht="23" customHeight="1">
      <x:c r="A25" s="3"/>
      <x:c r="B25" s="3"/>
      <x:c r="C25" s="8" t="str">
        <x:v>ลูกค้าปลายปี (ค่าคาดหมาย)</x:v>
      </x:c>
      <x:c r="D25" s="8"/>
      <x:c r="E25" s="8"/>
      <x:c r="F25" s="32" t="n">
        <x:f>F18+F24</x:f>
        <x:v>2</x:v>
      </x:c>
      <x:c r="G25" s="32" t="n">
        <x:f>G18+G24</x:f>
        <x:v>3.8</x:v>
      </x:c>
      <x:c r="H25" s="32" t="n">
        <x:f>H18+H24</x:f>
        <x:v>5.42</x:v>
      </x:c>
      <x:c r="I25" s="3"/>
      <x:c r="J25" s="3"/>
    </x:row>
    <x:row r="26" ht="23" customHeight="1">
      <x:c r="A26" s="3"/>
      <x:c r="B26" s="3"/>
      <x:c r="C26" s="8" t="str">
        <x:v>ARR ปลายปี (THB/ปี)</x:v>
      </x:c>
      <x:c r="D26" s="8"/>
      <x:c r="E26" s="8"/>
      <x:c r="F26" s="29" t="n">
        <x:f>IF(Inputs!E11="","n.a.",F25*$F10)</x:f>
        <x:v>2400000</x:v>
      </x:c>
      <x:c r="G26" s="29" t="n">
        <x:f>IF(Inputs!E11="","n.a.",G25*$F10)</x:f>
        <x:v>4560000</x:v>
      </x:c>
      <x:c r="H26" s="29" t="n">
        <x:f>IF(Inputs!E11="","n.a.",H25*$F10)</x:f>
        <x:v>6504000</x:v>
      </x:c>
      <x:c r="I26" s="3"/>
      <x:c r="J26" s="3"/>
    </x:row>
    <x:row r="27" ht="23" customHeight="1">
      <x:c r="A27" s="3"/>
      <x:c r="B27" s="3"/>
      <x:c r="C27" s="3" t="str">
        <x:v>ลูกค้าเฉลี่ยที่คิดรายได้</x:v>
      </x:c>
      <x:c r="D27" s="3"/>
      <x:c r="E27" s="3"/>
      <x:c r="F27" s="23" t="n">
        <x:f>F18+F24*Inputs!E45</x:f>
        <x:v>1</x:v>
      </x:c>
      <x:c r="G27" s="23" t="n">
        <x:f>G18+G24*Inputs!E45</x:f>
        <x:v>2.8</x:v>
      </x:c>
      <x:c r="H27" s="23" t="n">
        <x:f>H18+H24*Inputs!E45</x:f>
        <x:v>4.42</x:v>
      </x:c>
      <x:c r="I27" s="3"/>
      <x:c r="J27" s="3"/>
    </x:row>
    <x:row r="28" ht="23" customHeight="1">
      <x:c r="A28" s="3"/>
      <x:c r="B28" s="3"/>
      <x:c r="C28" s="3" t="str">
        <x:v>รายได้ระหว่างปี (THB)</x:v>
      </x:c>
      <x:c r="D28" s="3"/>
      <x:c r="E28" s="3"/>
      <x:c r="F28" s="14" t="n">
        <x:f>F27*$F10</x:f>
        <x:v>1200000</x:v>
      </x:c>
      <x:c r="G28" s="14" t="n">
        <x:f>G27*$F10</x:f>
        <x:v>3360000</x:v>
      </x:c>
      <x:c r="H28" s="14" t="n">
        <x:f>H27*$F10</x:f>
        <x:v>5304000</x:v>
      </x:c>
      <x:c r="I28" s="3"/>
      <x:c r="J28" s="3"/>
    </x:row>
    <x:row r="29" ht="23" customHeight="1">
      <x:c r="A29" s="3"/>
      <x:c r="B29" s="3"/>
      <x:c r="C29" s="3" t="str">
        <x:v>ต้นทุนดูแลตามการใช้บริการ</x:v>
      </x:c>
      <x:c r="D29" s="3"/>
      <x:c r="E29" s="3"/>
      <x:c r="F29" s="23" t="n">
        <x:f>F27*(Inputs!E12*12*Inputs!E40+Inputs!E13*12)</x:f>
        <x:v>153600</x:v>
      </x:c>
      <x:c r="G29" s="23" t="n">
        <x:f>G27*(Inputs!E12*12*Inputs!E40+Inputs!E13*12)</x:f>
        <x:v>430080</x:v>
      </x:c>
      <x:c r="H29" s="23" t="n">
        <x:f>H27*(Inputs!E12*12*Inputs!E40+Inputs!E13*12)</x:f>
        <x:v>678912</x:v>
      </x:c>
      <x:c r="I29" s="3"/>
      <x:c r="J29" s="3"/>
    </x:row>
    <x:row r="30" ht="23" customHeight="1">
      <x:c r="A30" s="3"/>
      <x:c r="B30" s="3"/>
      <x:c r="C30" s="3" t="str">
        <x:v>ต้นทุนติดตั้งลูกค้าใหม่</x:v>
      </x:c>
      <x:c r="D30" s="3"/>
      <x:c r="E30" s="3"/>
      <x:c r="F30" s="23" t="n">
        <x:f>F24*Inputs!E14*Inputs!E40</x:f>
        <x:v>96000</x:v>
      </x:c>
      <x:c r="G30" s="23" t="n">
        <x:f>G24*Inputs!E14*Inputs!E40</x:f>
        <x:v>96000</x:v>
      </x:c>
      <x:c r="H30" s="23" t="n">
        <x:f>H24*Inputs!E14*Inputs!E40</x:f>
        <x:v>96000</x:v>
      </x:c>
      <x:c r="I30" s="3"/>
      <x:c r="J30" s="3"/>
    </x:row>
    <x:row r="31" ht="23" customHeight="1">
      <x:c r="A31" s="3"/>
      <x:c r="B31" s="3"/>
      <x:c r="C31" s="3" t="str">
        <x:v>ต้นทุนบริการร่วม</x:v>
      </x:c>
      <x:c r="D31" s="3"/>
      <x:c r="E31" s="3"/>
      <x:c r="F31" s="23" t="n">
        <x:f>Inputs!E47</x:f>
        <x:v>720000</x:v>
      </x:c>
      <x:c r="G31" s="23" t="n">
        <x:f>Inputs!E47</x:f>
        <x:v>720000</x:v>
      </x:c>
      <x:c r="H31" s="23" t="n">
        <x:f>Inputs!E47</x:f>
        <x:v>720000</x:v>
      </x:c>
      <x:c r="I31" s="3"/>
      <x:c r="J31" s="3"/>
    </x:row>
    <x:row r="32" ht="23" customHeight="1">
      <x:c r="A32" s="3"/>
      <x:c r="B32" s="3"/>
      <x:c r="C32" s="8" t="str">
        <x:v>ส่วนเหลือก่อน R&amp;D และงานขาย</x:v>
      </x:c>
      <x:c r="D32" s="8"/>
      <x:c r="E32" s="8"/>
      <x:c r="F32" s="32" t="n">
        <x:f>F28-SUM(F29:F31)</x:f>
        <x:v>230400</x:v>
      </x:c>
      <x:c r="G32" s="32" t="n">
        <x:f>G28-SUM(G29:G31)</x:f>
        <x:v>2113920</x:v>
      </x:c>
      <x:c r="H32" s="32" t="n">
        <x:f>H28-SUM(H29:H31)</x:f>
        <x:v>3809088</x:v>
      </x:c>
      <x:c r="I32" s="3"/>
      <x:c r="J32" s="3"/>
    </x:row>
    <x:row r="33" ht="23" customHeight="1">
      <x:c r="A33" s="3"/>
      <x:c r="B33" s="3"/>
      <x:c r="C33" s="18" t="str">
        <x:v>ส่วนเหลือ / รายได้</x:v>
      </x:c>
      <x:c r="D33" s="18"/>
      <x:c r="E33" s="18"/>
      <x:c r="F33" s="19" t="n">
        <x:f>IF(F28=0,"n.a.",F32/F28)</x:f>
        <x:v>0.192</x:v>
      </x:c>
      <x:c r="G33" s="19" t="n">
        <x:f>IF(G28=0,"n.a.",G32/G28)</x:f>
        <x:v>0.6291428571428571</x:v>
      </x:c>
      <x:c r="H33" s="19" t="n">
        <x:f>IF(H28=0,"n.a.",H32/H28)</x:f>
        <x:v>0.7181538461538461</x:v>
      </x:c>
      <x:c r="I33" s="3"/>
      <x:c r="J33" s="3"/>
    </x:row>
    <x:row r="34" ht="23" customHeight="1">
      <x:c r="A34" s="3"/>
      <x:c r="B34" s="3"/>
      <x:c r="C34" s="3" t="str">
        <x:v>ส่วนต่างลูกค้าปลายปีเกิน SAM</x:v>
      </x:c>
      <x:c r="D34" s="3"/>
      <x:c r="E34" s="3"/>
      <x:c r="F34" s="14" t="n">
        <x:f>MAX(0,F25-$F12)</x:f>
        <x:v>0</x:v>
      </x:c>
      <x:c r="G34" s="14" t="n">
        <x:f>MAX(0,G25-$F12)</x:f>
        <x:v>0</x:v>
      </x:c>
      <x:c r="H34" s="14" t="n">
        <x:f>MAX(0,H25-$F12)</x:f>
        <x:v>0</x:v>
      </x:c>
      <x:c r="I34" s="3"/>
      <x:c r="J34" s="3"/>
    </x:row>
    <x:row r="35" ht="23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</x:row>
    <x:row r="36" ht="23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</x:row>
    <x:row r="37" ht="23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</x:row>
    <x:row r="38" ht="23" customHeight="1">
      <x:c r="A38" s="3"/>
      <x:c r="B38" s="3"/>
      <x:c r="C38" s="6" t="str">
        <x:v>B คัดกรองประกาศชักชวน</x:v>
      </x:c>
      <x:c r="D38" s="6"/>
      <x:c r="E38" s="6"/>
      <x:c r="F38" s="6"/>
      <x:c r="G38" s="6"/>
      <x:c r="H38" s="6"/>
      <x:c r="I38" s="3"/>
      <x:c r="J38" s="3"/>
    </x:row>
    <x:row r="39" ht="23" customHeight="1">
      <x:c r="A39" s="3"/>
      <x:c r="B39" s="3"/>
      <x:c r="C39" s="3" t="str">
        <x:v>ผู้ซื้อในขอบเขต TAM</x:v>
      </x:c>
      <x:c r="D39" s="3"/>
      <x:c r="E39" s="3"/>
      <x:c r="F39" s="23" t="n">
        <x:f>Inputs!E19</x:f>
        <x:v>9</x:v>
      </x:c>
      <x:c r="G39" s="24"/>
      <x:c r="H39" s="24"/>
      <x:c r="I39" s="3"/>
      <x:c r="J39" s="3"/>
    </x:row>
    <x:row r="40" ht="23" customHeight="1">
      <x:c r="A40" s="3"/>
      <x:c r="B40" s="3"/>
      <x:c r="C40" s="3" t="str">
        <x:v>ราคาต่อองค์กร (THB/ปี)</x:v>
      </x:c>
      <x:c r="D40" s="3"/>
      <x:c r="E40" s="3"/>
      <x:c r="F40" s="23" t="n">
        <x:f>Inputs!E21</x:f>
        <x:v>600000</x:v>
      </x:c>
      <x:c r="G40" s="24"/>
      <x:c r="H40" s="24"/>
      <x:c r="I40" s="3"/>
      <x:c r="J40" s="3"/>
    </x:row>
    <x:row r="41" ht="23" customHeight="1">
      <x:c r="A41" s="3"/>
      <x:c r="B41" s="3"/>
      <x:c r="C41" s="8" t="str">
        <x:v>TAM (THB/ปี)</x:v>
      </x:c>
      <x:c r="D41" s="8"/>
      <x:c r="E41" s="8"/>
      <x:c r="F41" s="29" t="n">
        <x:f>IF(Inputs!E21="","n.a.",F39*F40)</x:f>
        <x:v>5400000</x:v>
      </x:c>
      <x:c r="G41" s="30"/>
      <x:c r="H41" s="30"/>
      <x:c r="I41" s="3"/>
      <x:c r="J41" s="3"/>
    </x:row>
    <x:row r="42" ht="23" customHeight="1">
      <x:c r="A42" s="3"/>
      <x:c r="B42" s="3"/>
      <x:c r="C42" s="3" t="str">
        <x:v>SAM ที่รองรับได้ (องค์กร)</x:v>
      </x:c>
      <x:c r="D42" s="3"/>
      <x:c r="E42" s="3"/>
      <x:c r="F42" s="23" t="n">
        <x:f>Inputs!E20</x:f>
        <x:v>5</x:v>
      </x:c>
      <x:c r="G42" s="24"/>
      <x:c r="H42" s="24"/>
      <x:c r="I42" s="3"/>
      <x:c r="J42" s="3"/>
    </x:row>
    <x:row r="43" ht="23" customHeight="1">
      <x:c r="A43" s="3"/>
      <x:c r="B43" s="3"/>
      <x:c r="C43" s="8" t="str">
        <x:v>SAM (THB/ปี)</x:v>
      </x:c>
      <x:c r="D43" s="8"/>
      <x:c r="E43" s="8"/>
      <x:c r="F43" s="29" t="n">
        <x:f>IF(Inputs!E21="","n.a.",F42*F40)</x:f>
        <x:v>3000000</x:v>
      </x:c>
      <x:c r="G43" s="30"/>
      <x:c r="H43" s="30"/>
      <x:c r="I43" s="3"/>
      <x:c r="J43" s="3"/>
    </x:row>
    <x:row r="44" ht="23" customHeight="1">
      <x:c r="A44" s="3"/>
      <x:c r="B44" s="3"/>
      <x:c r="C44" s="3"/>
      <x:c r="D44" s="3"/>
      <x:c r="E44" s="3"/>
      <x:c r="F44" s="24"/>
      <x:c r="G44" s="24"/>
      <x:c r="H44" s="24"/>
      <x:c r="I44" s="3"/>
      <x:c r="J44" s="3"/>
    </x:row>
    <x:row r="45" ht="23" customHeight="1">
      <x:c r="A45" s="3"/>
      <x:c r="B45" s="3"/>
      <x:c r="C45" s="3"/>
      <x:c r="D45" s="3"/>
      <x:c r="E45" s="3"/>
      <x:c r="F45" s="25" t="n">
        <x:v>2027</x:v>
      </x:c>
      <x:c r="G45" s="25" t="n">
        <x:v>2028</x:v>
      </x:c>
      <x:c r="H45" s="25" t="n">
        <x:v>2029</x:v>
      </x:c>
      <x:c r="I45" s="3"/>
      <x:c r="J45" s="3"/>
    </x:row>
    <x:row r="46" ht="23" customHeight="1">
      <x:c r="A46" s="3"/>
      <x:c r="B46" s="3"/>
      <x:c r="C46" s="3" t="str">
        <x:v>ลูกค้าต้นปี</x:v>
      </x:c>
      <x:c r="D46" s="3"/>
      <x:c r="E46" s="3"/>
      <x:c r="F46" s="14" t="n">
        <x:f>0</x:f>
        <x:v>0</x:v>
      </x:c>
      <x:c r="G46" s="14" t="n">
        <x:f>F55</x:f>
        <x:v>1</x:v>
      </x:c>
      <x:c r="H46" s="14" t="n">
        <x:f>G55</x:f>
        <x:v>1.85</x:v>
      </x:c>
      <x:c r="I46" s="3"/>
      <x:c r="J46" s="3"/>
    </x:row>
    <x:row r="47" ht="23" customHeight="1">
      <x:c r="A47" s="3"/>
      <x:c r="B47" s="3"/>
      <x:c r="C47" s="18" t="str">
        <x:v>อัตราต่ออายุ</x:v>
      </x:c>
      <x:c r="D47" s="18"/>
      <x:c r="E47" s="18"/>
      <x:c r="F47" s="38" t="n">
        <x:f>Inputs!E25</x:f>
        <x:v>0.85</x:v>
      </x:c>
      <x:c r="G47" s="38" t="n">
        <x:f>Inputs!E25</x:f>
        <x:v>0.85</x:v>
      </x:c>
      <x:c r="H47" s="38" t="n">
        <x:f>Inputs!E25</x:f>
        <x:v>0.85</x:v>
      </x:c>
      <x:c r="I47" s="3"/>
      <x:c r="J47" s="3"/>
    </x:row>
    <x:row r="48" ht="23" customHeight="1">
      <x:c r="A48" s="3"/>
      <x:c r="B48" s="3"/>
      <x:c r="C48" s="3" t="str">
        <x:v>ลูกค้าคงเหลือหลังต่ออายุ</x:v>
      </x:c>
      <x:c r="D48" s="3"/>
      <x:c r="E48" s="3"/>
      <x:c r="F48" s="14" t="n">
        <x:f>F46*F47</x:f>
        <x:v>0</x:v>
      </x:c>
      <x:c r="G48" s="14" t="n">
        <x:f>G46*G47</x:f>
        <x:v>0.85</x:v>
      </x:c>
      <x:c r="H48" s="14" t="n">
        <x:f>H46*H47</x:f>
        <x:v>1.5725</x:v>
      </x:c>
      <x:c r="I48" s="3"/>
      <x:c r="J48" s="3"/>
    </x:row>
    <x:row r="49" ht="23" customHeight="1">
      <x:c r="A49" s="3"/>
      <x:c r="B49" s="3"/>
      <x:c r="C49" s="3" t="str">
        <x:v>องค์กรใหม่ที่ qualify ได้</x:v>
      </x:c>
      <x:c r="D49" s="3"/>
      <x:c r="E49" s="3"/>
      <x:c r="F49" s="23" t="n">
        <x:f>Inputs!E60</x:f>
        <x:v>2</x:v>
      </x:c>
      <x:c r="G49" s="23" t="n">
        <x:f>Inputs!E61</x:f>
        <x:v>2</x:v>
      </x:c>
      <x:c r="H49" s="23" t="n">
        <x:f>Inputs!E62</x:f>
        <x:v>1</x:v>
      </x:c>
      <x:c r="I49" s="3"/>
      <x:c r="J49" s="3"/>
    </x:row>
    <x:row r="50" ht="23" customHeight="1">
      <x:c r="A50" s="3"/>
      <x:c r="B50" s="3"/>
      <x:c r="C50" s="18" t="str">
        <x:v>อัตราปิดการขาย</x:v>
      </x:c>
      <x:c r="D50" s="18"/>
      <x:c r="E50" s="18"/>
      <x:c r="F50" s="38" t="n">
        <x:f>Inputs!E63</x:f>
        <x:v>0.5</x:v>
      </x:c>
      <x:c r="G50" s="38" t="n">
        <x:f>Inputs!E63</x:f>
        <x:v>0.5</x:v>
      </x:c>
      <x:c r="H50" s="38" t="n">
        <x:f>Inputs!E63</x:f>
        <x:v>0.5</x:v>
      </x:c>
      <x:c r="I50" s="3"/>
      <x:c r="J50" s="3"/>
    </x:row>
    <x:row r="51" ht="23" customHeight="1">
      <x:c r="A51" s="3"/>
      <x:c r="B51" s="3"/>
      <x:c r="C51" s="3" t="str">
        <x:v>รายที่ขายได้ก่อนจำกัดกำลัง</x:v>
      </x:c>
      <x:c r="D51" s="3"/>
      <x:c r="E51" s="3"/>
      <x:c r="F51" s="14" t="n">
        <x:f>ROUNDDOWN(F49*F50,0)</x:f>
        <x:v>1</x:v>
      </x:c>
      <x:c r="G51" s="14" t="n">
        <x:f>ROUNDDOWN(G49*G50,0)</x:f>
        <x:v>1</x:v>
      </x:c>
      <x:c r="H51" s="14" t="n">
        <x:f>ROUNDDOWN(H49*H50,0)</x:f>
        <x:v>0</x:v>
      </x:c>
      <x:c r="I51" s="3"/>
      <x:c r="J51" s="3"/>
    </x:row>
    <x:row r="52" ht="23" customHeight="1">
      <x:c r="A52" s="3"/>
      <x:c r="B52" s="3"/>
      <x:c r="C52" s="3" t="str">
        <x:v>เพดานเริ่มลูกค้าใหม่</x:v>
      </x:c>
      <x:c r="D52" s="3"/>
      <x:c r="E52" s="3"/>
      <x:c r="F52" s="23" t="n">
        <x:f>Inputs!E64</x:f>
        <x:v>1</x:v>
      </x:c>
      <x:c r="G52" s="23" t="n">
        <x:f>Inputs!E65</x:f>
        <x:v>2</x:v>
      </x:c>
      <x:c r="H52" s="23" t="n">
        <x:f>Inputs!E66</x:f>
        <x:v>2</x:v>
      </x:c>
      <x:c r="I52" s="3"/>
      <x:c r="J52" s="3"/>
    </x:row>
    <x:row r="53" ht="23" customHeight="1">
      <x:c r="A53" s="3"/>
      <x:c r="B53" s="3"/>
      <x:c r="C53" s="3" t="str">
        <x:v>เพดานตามชั่วโมงบริการที่เหลือ</x:v>
      </x:c>
      <x:c r="D53" s="3"/>
      <x:c r="E53" s="3"/>
      <x:c r="F53" s="23" t="n">
        <x:f>IF(Inputs!E24+Inputs!E22*12*Inputs!E45=0,0,ROUNDDOWN(MAX(0,Inputs!E46-F48*Inputs!E22*12)/(Inputs!E24+Inputs!E22*12*Inputs!E45),0))</x:f>
        <x:v>9</x:v>
      </x:c>
      <x:c r="G53" s="23" t="n">
        <x:f>IF(Inputs!E24+Inputs!E22*12*Inputs!E45=0,0,ROUNDDOWN(MAX(0,Inputs!E46-G48*Inputs!E22*12)/(Inputs!E24+Inputs!E22*12*Inputs!E45),0))</x:f>
        <x:v>8</x:v>
      </x:c>
      <x:c r="H53" s="23" t="n">
        <x:f>IF(Inputs!E24+Inputs!E22*12*Inputs!E45=0,0,ROUNDDOWN(MAX(0,Inputs!E46-H48*Inputs!E22*12)/(Inputs!E24+Inputs!E22*12*Inputs!E45),0))</x:f>
        <x:v>7</x:v>
      </x:c>
      <x:c r="I53" s="3"/>
      <x:c r="J53" s="3"/>
    </x:row>
    <x:row r="54" ht="23" customHeight="1">
      <x:c r="A54" s="3"/>
      <x:c r="B54" s="3"/>
      <x:c r="C54" s="3" t="str">
        <x:v>ลูกค้าใหม่ที่เริ่มได้จริง</x:v>
      </x:c>
      <x:c r="D54" s="3"/>
      <x:c r="E54" s="3"/>
      <x:c r="F54" s="14" t="n">
        <x:f>MAX(0,MIN(F51,F52,F53,ROUNDDOWN($F42-F48,0)))</x:f>
        <x:v>1</x:v>
      </x:c>
      <x:c r="G54" s="14" t="n">
        <x:f>MAX(0,MIN(G51,G52,G53,ROUNDDOWN($F42-G48,0)))</x:f>
        <x:v>1</x:v>
      </x:c>
      <x:c r="H54" s="14" t="n">
        <x:f>MAX(0,MIN(H51,H52,H53,ROUNDDOWN($F42-H48,0)))</x:f>
        <x:v>0</x:v>
      </x:c>
      <x:c r="I54" s="3"/>
      <x:c r="J54" s="3"/>
    </x:row>
    <x:row r="55" ht="23" customHeight="1">
      <x:c r="A55" s="3"/>
      <x:c r="B55" s="3"/>
      <x:c r="C55" s="8" t="str">
        <x:v>ลูกค้าปลายปี (ค่าคาดหมาย)</x:v>
      </x:c>
      <x:c r="D55" s="8"/>
      <x:c r="E55" s="8"/>
      <x:c r="F55" s="32" t="n">
        <x:f>F48+F54</x:f>
        <x:v>1</x:v>
      </x:c>
      <x:c r="G55" s="32" t="n">
        <x:f>G48+G54</x:f>
        <x:v>1.85</x:v>
      </x:c>
      <x:c r="H55" s="32" t="n">
        <x:f>H48+H54</x:f>
        <x:v>1.5725</x:v>
      </x:c>
      <x:c r="I55" s="3"/>
      <x:c r="J55" s="3"/>
    </x:row>
    <x:row r="56" ht="23" customHeight="1">
      <x:c r="A56" s="3"/>
      <x:c r="B56" s="3"/>
      <x:c r="C56" s="8" t="str">
        <x:v>ARR ปลายปี (THB/ปี)</x:v>
      </x:c>
      <x:c r="D56" s="8"/>
      <x:c r="E56" s="8"/>
      <x:c r="F56" s="29" t="n">
        <x:f>IF(Inputs!E21="","n.a.",F55*$F40)</x:f>
        <x:v>600000</x:v>
      </x:c>
      <x:c r="G56" s="29" t="n">
        <x:f>IF(Inputs!E21="","n.a.",G55*$F40)</x:f>
        <x:v>1110000</x:v>
      </x:c>
      <x:c r="H56" s="29" t="n">
        <x:f>IF(Inputs!E21="","n.a.",H55*$F40)</x:f>
        <x:v>943500</x:v>
      </x:c>
      <x:c r="I56" s="3"/>
      <x:c r="J56" s="3"/>
    </x:row>
    <x:row r="57" ht="23" customHeight="1">
      <x:c r="A57" s="3"/>
      <x:c r="B57" s="3"/>
      <x:c r="C57" s="3" t="str">
        <x:v>ลูกค้าเฉลี่ยที่คิดรายได้</x:v>
      </x:c>
      <x:c r="D57" s="3"/>
      <x:c r="E57" s="3"/>
      <x:c r="F57" s="23" t="n">
        <x:f>F48+F54*Inputs!E45</x:f>
        <x:v>0.5</x:v>
      </x:c>
      <x:c r="G57" s="23" t="n">
        <x:f>G48+G54*Inputs!E45</x:f>
        <x:v>1.35</x:v>
      </x:c>
      <x:c r="H57" s="23" t="n">
        <x:f>H48+H54*Inputs!E45</x:f>
        <x:v>1.5725</x:v>
      </x:c>
      <x:c r="I57" s="3"/>
      <x:c r="J57" s="3"/>
    </x:row>
    <x:row r="58" ht="23" customHeight="1">
      <x:c r="A58" s="3"/>
      <x:c r="B58" s="3"/>
      <x:c r="C58" s="3" t="str">
        <x:v>รายได้ระหว่างปี (THB)</x:v>
      </x:c>
      <x:c r="D58" s="3"/>
      <x:c r="E58" s="3"/>
      <x:c r="F58" s="14" t="n">
        <x:f>F57*$F40</x:f>
        <x:v>300000</x:v>
      </x:c>
      <x:c r="G58" s="14" t="n">
        <x:f>G57*$F40</x:f>
        <x:v>810000</x:v>
      </x:c>
      <x:c r="H58" s="14" t="n">
        <x:f>H57*$F40</x:f>
        <x:v>943500</x:v>
      </x:c>
      <x:c r="I58" s="3"/>
      <x:c r="J58" s="3"/>
    </x:row>
    <x:row r="59" ht="23" customHeight="1">
      <x:c r="A59" s="3"/>
      <x:c r="B59" s="3"/>
      <x:c r="C59" s="3" t="str">
        <x:v>ต้นทุนดูแลตามการใช้บริการ</x:v>
      </x:c>
      <x:c r="D59" s="3"/>
      <x:c r="E59" s="3"/>
      <x:c r="F59" s="23" t="n">
        <x:f>F57*(Inputs!E22*12*Inputs!E40+Inputs!E23*12)</x:f>
        <x:v>64800</x:v>
      </x:c>
      <x:c r="G59" s="23" t="n">
        <x:f>G57*(Inputs!E22*12*Inputs!E40+Inputs!E23*12)</x:f>
        <x:v>174960</x:v>
      </x:c>
      <x:c r="H59" s="23" t="n">
        <x:f>H57*(Inputs!E22*12*Inputs!E40+Inputs!E23*12)</x:f>
        <x:v>203796</x:v>
      </x:c>
      <x:c r="I59" s="3"/>
      <x:c r="J59" s="3"/>
    </x:row>
    <x:row r="60" ht="23" customHeight="1">
      <x:c r="A60" s="3"/>
      <x:c r="B60" s="3"/>
      <x:c r="C60" s="3" t="str">
        <x:v>ต้นทุนติดตั้งลูกค้าใหม่</x:v>
      </x:c>
      <x:c r="D60" s="3"/>
      <x:c r="E60" s="3"/>
      <x:c r="F60" s="23" t="n">
        <x:f>F54*Inputs!E24*Inputs!E40</x:f>
        <x:v>36000</x:v>
      </x:c>
      <x:c r="G60" s="23" t="n">
        <x:f>G54*Inputs!E24*Inputs!E40</x:f>
        <x:v>36000</x:v>
      </x:c>
      <x:c r="H60" s="23" t="n">
        <x:f>H54*Inputs!E24*Inputs!E40</x:f>
        <x:v>0</x:v>
      </x:c>
      <x:c r="I60" s="3"/>
      <x:c r="J60" s="3"/>
    </x:row>
    <x:row r="61" ht="23" customHeight="1">
      <x:c r="A61" s="3"/>
      <x:c r="B61" s="3"/>
      <x:c r="C61" s="3" t="str">
        <x:v>ต้นทุนบริการร่วม</x:v>
      </x:c>
      <x:c r="D61" s="3"/>
      <x:c r="E61" s="3"/>
      <x:c r="F61" s="23" t="n">
        <x:f>Inputs!E47</x:f>
        <x:v>720000</x:v>
      </x:c>
      <x:c r="G61" s="23" t="n">
        <x:f>Inputs!E47</x:f>
        <x:v>720000</x:v>
      </x:c>
      <x:c r="H61" s="23" t="n">
        <x:f>Inputs!E47</x:f>
        <x:v>720000</x:v>
      </x:c>
      <x:c r="I61" s="3"/>
      <x:c r="J61" s="3"/>
    </x:row>
    <x:row r="62" ht="23" customHeight="1">
      <x:c r="A62" s="3"/>
      <x:c r="B62" s="3"/>
      <x:c r="C62" s="8" t="str">
        <x:v>ส่วนเหลือก่อน R&amp;D และงานขาย</x:v>
      </x:c>
      <x:c r="D62" s="8"/>
      <x:c r="E62" s="8"/>
      <x:c r="F62" s="32" t="n">
        <x:f>F58-SUM(F59:F61)</x:f>
        <x:v>-520800</x:v>
      </x:c>
      <x:c r="G62" s="32" t="n">
        <x:f>G58-SUM(G59:G61)</x:f>
        <x:v>-120960</x:v>
      </x:c>
      <x:c r="H62" s="32" t="n">
        <x:f>H58-SUM(H59:H61)</x:f>
        <x:v>19704</x:v>
      </x:c>
      <x:c r="I62" s="3"/>
      <x:c r="J62" s="3"/>
    </x:row>
    <x:row r="63" ht="23" customHeight="1">
      <x:c r="A63" s="3"/>
      <x:c r="B63" s="3"/>
      <x:c r="C63" s="18" t="str">
        <x:v>ส่วนเหลือ / รายได้</x:v>
      </x:c>
      <x:c r="D63" s="18"/>
      <x:c r="E63" s="18"/>
      <x:c r="F63" s="19" t="n">
        <x:f>IF(F58=0,"n.a.",F62/F58)</x:f>
        <x:v>-1.736</x:v>
      </x:c>
      <x:c r="G63" s="19" t="n">
        <x:f>IF(G58=0,"n.a.",G62/G58)</x:f>
        <x:v>-0.14933333333333335</x:v>
      </x:c>
      <x:c r="H63" s="19" t="n">
        <x:f>IF(H58=0,"n.a.",H62/H58)</x:f>
        <x:v>0.020883942766295707</x:v>
      </x:c>
      <x:c r="I63" s="3"/>
      <x:c r="J63" s="3"/>
    </x:row>
    <x:row r="64" ht="23" customHeight="1">
      <x:c r="A64" s="3"/>
      <x:c r="B64" s="3"/>
      <x:c r="C64" s="3" t="str">
        <x:v>ส่วนต่างลูกค้าปลายปีเกิน SAM</x:v>
      </x:c>
      <x:c r="D64" s="3"/>
      <x:c r="E64" s="3"/>
      <x:c r="F64" s="14" t="n">
        <x:f>MAX(0,F55-$F42)</x:f>
        <x:v>0</x:v>
      </x:c>
      <x:c r="G64" s="14" t="n">
        <x:f>MAX(0,G55-$F42)</x:f>
        <x:v>0</x:v>
      </x:c>
      <x:c r="H64" s="14" t="n">
        <x:f>MAX(0,H55-$F42)</x:f>
        <x:v>0</x:v>
      </x:c>
      <x:c r="I64" s="3"/>
      <x:c r="J64" s="3"/>
    </x:row>
    <x:row r="65" ht="23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</x:row>
    <x:row r="66" ht="23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</x:row>
    <x:row r="67" ht="23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</x:row>
    <x:row r="68" ht="23" customHeight="1">
      <x:c r="A68" s="3"/>
      <x:c r="B68" s="3"/>
      <x:c r="C68" s="6" t="str">
        <x:v>C ช่วยตัดสินใจก่อนส่งมอบบัญชี</x:v>
      </x:c>
      <x:c r="D68" s="6"/>
      <x:c r="E68" s="6"/>
      <x:c r="F68" s="6"/>
      <x:c r="G68" s="6"/>
      <x:c r="H68" s="6"/>
      <x:c r="I68" s="3"/>
      <x:c r="J68" s="3"/>
    </x:row>
    <x:row r="69" ht="23" customHeight="1">
      <x:c r="A69" s="3"/>
      <x:c r="B69" s="3"/>
      <x:c r="C69" s="3" t="str">
        <x:v>ผู้ซื้อในขอบเขต TAM</x:v>
      </x:c>
      <x:c r="D69" s="3"/>
      <x:c r="E69" s="3"/>
      <x:c r="F69" s="23" t="n">
        <x:f>Inputs!E29</x:f>
        <x:v>48</x:v>
      </x:c>
      <x:c r="G69" s="24"/>
      <x:c r="H69" s="24"/>
      <x:c r="I69" s="3"/>
      <x:c r="J69" s="3"/>
    </x:row>
    <x:row r="70" ht="23" customHeight="1">
      <x:c r="A70" s="3"/>
      <x:c r="B70" s="3"/>
      <x:c r="C70" s="3" t="str">
        <x:v>ราคาต่อองค์กร (THB/ปี)</x:v>
      </x:c>
      <x:c r="D70" s="3"/>
      <x:c r="E70" s="3"/>
      <x:c r="F70" s="23" t="n">
        <x:f>Inputs!E31</x:f>
        <x:v>600000</x:v>
      </x:c>
      <x:c r="G70" s="24"/>
      <x:c r="H70" s="24"/>
      <x:c r="I70" s="3"/>
      <x:c r="J70" s="3"/>
    </x:row>
    <x:row r="71" ht="23" customHeight="1">
      <x:c r="A71" s="3"/>
      <x:c r="B71" s="3"/>
      <x:c r="C71" s="8" t="str">
        <x:v>TAM (THB/ปี)</x:v>
      </x:c>
      <x:c r="D71" s="8"/>
      <x:c r="E71" s="8"/>
      <x:c r="F71" s="29" t="n">
        <x:f>IF(Inputs!E31="","n.a.",F69*F70)</x:f>
        <x:v>28800000</x:v>
      </x:c>
      <x:c r="G71" s="30"/>
      <x:c r="H71" s="30"/>
      <x:c r="I71" s="3"/>
      <x:c r="J71" s="3"/>
    </x:row>
    <x:row r="72" ht="23" customHeight="1">
      <x:c r="A72" s="3"/>
      <x:c r="B72" s="3"/>
      <x:c r="C72" s="3" t="str">
        <x:v>SAM ที่รองรับได้ (องค์กร)</x:v>
      </x:c>
      <x:c r="D72" s="3"/>
      <x:c r="E72" s="3"/>
      <x:c r="F72" s="23" t="n">
        <x:f>Inputs!E30</x:f>
        <x:v>18</x:v>
      </x:c>
      <x:c r="G72" s="24"/>
      <x:c r="H72" s="24"/>
      <x:c r="I72" s="3"/>
      <x:c r="J72" s="3"/>
    </x:row>
    <x:row r="73" ht="23" customHeight="1">
      <x:c r="A73" s="3"/>
      <x:c r="B73" s="3"/>
      <x:c r="C73" s="8" t="str">
        <x:v>SAM (THB/ปี)</x:v>
      </x:c>
      <x:c r="D73" s="8"/>
      <x:c r="E73" s="8"/>
      <x:c r="F73" s="29" t="n">
        <x:f>IF(Inputs!E31="","n.a.",F72*F70)</x:f>
        <x:v>10800000</x:v>
      </x:c>
      <x:c r="G73" s="30"/>
      <x:c r="H73" s="30"/>
      <x:c r="I73" s="3"/>
      <x:c r="J73" s="3"/>
    </x:row>
    <x:row r="74" ht="23" customHeight="1">
      <x:c r="A74" s="3"/>
      <x:c r="B74" s="3"/>
      <x:c r="C74" s="3"/>
      <x:c r="D74" s="3"/>
      <x:c r="E74" s="3"/>
      <x:c r="F74" s="24"/>
      <x:c r="G74" s="24"/>
      <x:c r="H74" s="24"/>
      <x:c r="I74" s="3"/>
      <x:c r="J74" s="3"/>
    </x:row>
    <x:row r="75" ht="23" customHeight="1">
      <x:c r="A75" s="3"/>
      <x:c r="B75" s="3"/>
      <x:c r="C75" s="3"/>
      <x:c r="D75" s="3"/>
      <x:c r="E75" s="3"/>
      <x:c r="F75" s="25" t="n">
        <x:v>2027</x:v>
      </x:c>
      <x:c r="G75" s="25" t="n">
        <x:v>2028</x:v>
      </x:c>
      <x:c r="H75" s="25" t="n">
        <x:v>2029</x:v>
      </x:c>
      <x:c r="I75" s="3"/>
      <x:c r="J75" s="3"/>
    </x:row>
    <x:row r="76" ht="23" customHeight="1">
      <x:c r="A76" s="3"/>
      <x:c r="B76" s="3"/>
      <x:c r="C76" s="3" t="str">
        <x:v>ลูกค้าต้นปี</x:v>
      </x:c>
      <x:c r="D76" s="3"/>
      <x:c r="E76" s="3"/>
      <x:c r="F76" s="14" t="n">
        <x:f>0</x:f>
        <x:v>0</x:v>
      </x:c>
      <x:c r="G76" s="14" t="n">
        <x:f>F85</x:f>
        <x:v>1</x:v>
      </x:c>
      <x:c r="H76" s="14" t="n">
        <x:f>G85</x:f>
        <x:v>1.85</x:v>
      </x:c>
      <x:c r="I76" s="3"/>
      <x:c r="J76" s="3"/>
    </x:row>
    <x:row r="77" ht="23" customHeight="1">
      <x:c r="A77" s="3"/>
      <x:c r="B77" s="3"/>
      <x:c r="C77" s="18" t="str">
        <x:v>อัตราต่ออายุ</x:v>
      </x:c>
      <x:c r="D77" s="18"/>
      <x:c r="E77" s="18"/>
      <x:c r="F77" s="38" t="n">
        <x:f>Inputs!E35</x:f>
        <x:v>0.85</x:v>
      </x:c>
      <x:c r="G77" s="38" t="n">
        <x:f>Inputs!E35</x:f>
        <x:v>0.85</x:v>
      </x:c>
      <x:c r="H77" s="38" t="n">
        <x:f>Inputs!E35</x:f>
        <x:v>0.85</x:v>
      </x:c>
      <x:c r="I77" s="3"/>
      <x:c r="J77" s="3"/>
    </x:row>
    <x:row r="78" ht="23" customHeight="1">
      <x:c r="A78" s="3"/>
      <x:c r="B78" s="3"/>
      <x:c r="C78" s="3" t="str">
        <x:v>ลูกค้าคงเหลือหลังต่ออายุ</x:v>
      </x:c>
      <x:c r="D78" s="3"/>
      <x:c r="E78" s="3"/>
      <x:c r="F78" s="14" t="n">
        <x:f>F76*F77</x:f>
        <x:v>0</x:v>
      </x:c>
      <x:c r="G78" s="14" t="n">
        <x:f>G76*G77</x:f>
        <x:v>0.85</x:v>
      </x:c>
      <x:c r="H78" s="14" t="n">
        <x:f>H76*H77</x:f>
        <x:v>1.5725</x:v>
      </x:c>
      <x:c r="I78" s="3"/>
      <x:c r="J78" s="3"/>
    </x:row>
    <x:row r="79" ht="23" customHeight="1">
      <x:c r="A79" s="3"/>
      <x:c r="B79" s="3"/>
      <x:c r="C79" s="3" t="str">
        <x:v>องค์กรใหม่ที่ qualify ได้</x:v>
      </x:c>
      <x:c r="D79" s="3"/>
      <x:c r="E79" s="3"/>
      <x:c r="F79" s="23" t="n">
        <x:f>Inputs!E70</x:f>
        <x:v>6</x:v>
      </x:c>
      <x:c r="G79" s="23" t="n">
        <x:f>Inputs!E71</x:f>
        <x:v>6</x:v>
      </x:c>
      <x:c r="H79" s="23" t="n">
        <x:f>Inputs!E72</x:f>
        <x:v>6</x:v>
      </x:c>
      <x:c r="I79" s="3"/>
      <x:c r="J79" s="3"/>
    </x:row>
    <x:row r="80" ht="23" customHeight="1">
      <x:c r="A80" s="3"/>
      <x:c r="B80" s="3"/>
      <x:c r="C80" s="18" t="str">
        <x:v>อัตราปิดการขาย</x:v>
      </x:c>
      <x:c r="D80" s="18"/>
      <x:c r="E80" s="18"/>
      <x:c r="F80" s="38" t="n">
        <x:f>Inputs!E73</x:f>
        <x:v>0.25</x:v>
      </x:c>
      <x:c r="G80" s="38" t="n">
        <x:f>Inputs!E73</x:f>
        <x:v>0.25</x:v>
      </x:c>
      <x:c r="H80" s="38" t="n">
        <x:f>Inputs!E73</x:f>
        <x:v>0.25</x:v>
      </x:c>
      <x:c r="I80" s="3"/>
      <x:c r="J80" s="3"/>
    </x:row>
    <x:row r="81" ht="23" customHeight="1">
      <x:c r="A81" s="3"/>
      <x:c r="B81" s="3"/>
      <x:c r="C81" s="3" t="str">
        <x:v>รายที่ขายได้ก่อนจำกัดกำลัง</x:v>
      </x:c>
      <x:c r="D81" s="3"/>
      <x:c r="E81" s="3"/>
      <x:c r="F81" s="14" t="n">
        <x:f>ROUNDDOWN(F79*F80,0)</x:f>
        <x:v>1</x:v>
      </x:c>
      <x:c r="G81" s="14" t="n">
        <x:f>ROUNDDOWN(G79*G80,0)</x:f>
        <x:v>1</x:v>
      </x:c>
      <x:c r="H81" s="14" t="n">
        <x:f>ROUNDDOWN(H79*H80,0)</x:f>
        <x:v>1</x:v>
      </x:c>
      <x:c r="I81" s="3"/>
      <x:c r="J81" s="3"/>
    </x:row>
    <x:row r="82" ht="23" customHeight="1">
      <x:c r="A82" s="3"/>
      <x:c r="B82" s="3"/>
      <x:c r="C82" s="3" t="str">
        <x:v>เพดานเริ่มลูกค้าใหม่</x:v>
      </x:c>
      <x:c r="D82" s="3"/>
      <x:c r="E82" s="3"/>
      <x:c r="F82" s="23" t="n">
        <x:f>Inputs!E74</x:f>
        <x:v>2</x:v>
      </x:c>
      <x:c r="G82" s="23" t="n">
        <x:f>Inputs!E75</x:f>
        <x:v>3</x:v>
      </x:c>
      <x:c r="H82" s="23" t="n">
        <x:f>Inputs!E76</x:f>
        <x:v>4</x:v>
      </x:c>
      <x:c r="I82" s="3"/>
      <x:c r="J82" s="3"/>
    </x:row>
    <x:row r="83" ht="23" customHeight="1">
      <x:c r="A83" s="3"/>
      <x:c r="B83" s="3"/>
      <x:c r="C83" s="3" t="str">
        <x:v>เพดานตามชั่วโมงบริการที่เหลือ</x:v>
      </x:c>
      <x:c r="D83" s="3"/>
      <x:c r="E83" s="3"/>
      <x:c r="F83" s="23" t="n">
        <x:f>IF(Inputs!E34+Inputs!E32*12*Inputs!E45=0,0,ROUNDDOWN(MAX(0,Inputs!E46-F78*Inputs!E32*12)/(Inputs!E34+Inputs!E32*12*Inputs!E45),0))</x:f>
        <x:v>9</x:v>
      </x:c>
      <x:c r="G83" s="23" t="n">
        <x:f>IF(Inputs!E34+Inputs!E32*12*Inputs!E45=0,0,ROUNDDOWN(MAX(0,Inputs!E46-G78*Inputs!E32*12)/(Inputs!E34+Inputs!E32*12*Inputs!E45),0))</x:f>
        <x:v>9</x:v>
      </x:c>
      <x:c r="H83" s="23" t="n">
        <x:f>IF(Inputs!E34+Inputs!E32*12*Inputs!E45=0,0,ROUNDDOWN(MAX(0,Inputs!E46-H78*Inputs!E32*12)/(Inputs!E34+Inputs!E32*12*Inputs!E45),0))</x:f>
        <x:v>8</x:v>
      </x:c>
      <x:c r="I83" s="3"/>
      <x:c r="J83" s="3"/>
    </x:row>
    <x:row r="84" ht="23" customHeight="1">
      <x:c r="A84" s="3"/>
      <x:c r="B84" s="3"/>
      <x:c r="C84" s="3" t="str">
        <x:v>ลูกค้าใหม่ที่เริ่มได้จริง</x:v>
      </x:c>
      <x:c r="D84" s="3"/>
      <x:c r="E84" s="3"/>
      <x:c r="F84" s="14" t="n">
        <x:f>MAX(0,MIN(F81,F82,F83,ROUNDDOWN($F72-F78,0)))</x:f>
        <x:v>1</x:v>
      </x:c>
      <x:c r="G84" s="14" t="n">
        <x:f>MAX(0,MIN(G81,G82,G83,ROUNDDOWN($F72-G78,0)))</x:f>
        <x:v>1</x:v>
      </x:c>
      <x:c r="H84" s="14" t="n">
        <x:f>MAX(0,MIN(H81,H82,H83,ROUNDDOWN($F72-H78,0)))</x:f>
        <x:v>1</x:v>
      </x:c>
      <x:c r="I84" s="3"/>
      <x:c r="J84" s="3"/>
    </x:row>
    <x:row r="85" ht="23" customHeight="1">
      <x:c r="A85" s="3"/>
      <x:c r="B85" s="3"/>
      <x:c r="C85" s="8" t="str">
        <x:v>ลูกค้าปลายปี (ค่าคาดหมาย)</x:v>
      </x:c>
      <x:c r="D85" s="8"/>
      <x:c r="E85" s="8"/>
      <x:c r="F85" s="32" t="n">
        <x:f>F78+F84</x:f>
        <x:v>1</x:v>
      </x:c>
      <x:c r="G85" s="32" t="n">
        <x:f>G78+G84</x:f>
        <x:v>1.85</x:v>
      </x:c>
      <x:c r="H85" s="32" t="n">
        <x:f>H78+H84</x:f>
        <x:v>2.5725</x:v>
      </x:c>
      <x:c r="I85" s="3"/>
      <x:c r="J85" s="3"/>
    </x:row>
    <x:row r="86" ht="23" customHeight="1">
      <x:c r="A86" s="3"/>
      <x:c r="B86" s="3"/>
      <x:c r="C86" s="8" t="str">
        <x:v>ARR ปลายปี (THB/ปี)</x:v>
      </x:c>
      <x:c r="D86" s="8"/>
      <x:c r="E86" s="8"/>
      <x:c r="F86" s="29" t="n">
        <x:f>IF(Inputs!E31="","n.a.",F85*$F70)</x:f>
        <x:v>600000</x:v>
      </x:c>
      <x:c r="G86" s="29" t="n">
        <x:f>IF(Inputs!E31="","n.a.",G85*$F70)</x:f>
        <x:v>1110000</x:v>
      </x:c>
      <x:c r="H86" s="29" t="n">
        <x:f>IF(Inputs!E31="","n.a.",H85*$F70)</x:f>
        <x:v>1543499.9999999998</x:v>
      </x:c>
      <x:c r="I86" s="3"/>
      <x:c r="J86" s="3"/>
    </x:row>
    <x:row r="87" ht="23" customHeight="1">
      <x:c r="A87" s="3"/>
      <x:c r="B87" s="3"/>
      <x:c r="C87" s="3" t="str">
        <x:v>ลูกค้าเฉลี่ยที่คิดรายได้</x:v>
      </x:c>
      <x:c r="D87" s="3"/>
      <x:c r="E87" s="3"/>
      <x:c r="F87" s="23" t="n">
        <x:f>F78+F84*Inputs!E45</x:f>
        <x:v>0.5</x:v>
      </x:c>
      <x:c r="G87" s="23" t="n">
        <x:f>G78+G84*Inputs!E45</x:f>
        <x:v>1.35</x:v>
      </x:c>
      <x:c r="H87" s="23" t="n">
        <x:f>H78+H84*Inputs!E45</x:f>
        <x:v>2.0725</x:v>
      </x:c>
      <x:c r="I87" s="3"/>
      <x:c r="J87" s="3"/>
    </x:row>
    <x:row r="88" ht="23" customHeight="1">
      <x:c r="A88" s="3"/>
      <x:c r="B88" s="3"/>
      <x:c r="C88" s="3" t="str">
        <x:v>รายได้ระหว่างปี (THB)</x:v>
      </x:c>
      <x:c r="D88" s="3"/>
      <x:c r="E88" s="3"/>
      <x:c r="F88" s="14" t="n">
        <x:f>F87*$F70</x:f>
        <x:v>300000</x:v>
      </x:c>
      <x:c r="G88" s="14" t="n">
        <x:f>G87*$F70</x:f>
        <x:v>810000</x:v>
      </x:c>
      <x:c r="H88" s="14" t="n">
        <x:f>H87*$F70</x:f>
        <x:v>1243499.9999999998</x:v>
      </x:c>
      <x:c r="I88" s="3"/>
      <x:c r="J88" s="3"/>
    </x:row>
    <x:row r="89" ht="23" customHeight="1">
      <x:c r="A89" s="3"/>
      <x:c r="B89" s="3"/>
      <x:c r="C89" s="3" t="str">
        <x:v>ต้นทุนดูแลตามการใช้บริการ</x:v>
      </x:c>
      <x:c r="D89" s="3"/>
      <x:c r="E89" s="3"/>
      <x:c r="F89" s="23" t="n">
        <x:f>F87*(Inputs!E32*12*Inputs!E40+Inputs!E33*12)</x:f>
        <x:v>44400</x:v>
      </x:c>
      <x:c r="G89" s="23" t="n">
        <x:f>G87*(Inputs!E32*12*Inputs!E40+Inputs!E33*12)</x:f>
        <x:v>119880.00000000001</x:v>
      </x:c>
      <x:c r="H89" s="23" t="n">
        <x:f>H87*(Inputs!E32*12*Inputs!E40+Inputs!E33*12)</x:f>
        <x:v>184037.99999999997</x:v>
      </x:c>
      <x:c r="I89" s="3"/>
      <x:c r="J89" s="3"/>
    </x:row>
    <x:row r="90" ht="23" customHeight="1">
      <x:c r="A90" s="3"/>
      <x:c r="B90" s="3"/>
      <x:c r="C90" s="3" t="str">
        <x:v>ต้นทุนติดตั้งลูกค้าใหม่</x:v>
      </x:c>
      <x:c r="D90" s="3"/>
      <x:c r="E90" s="3"/>
      <x:c r="F90" s="23" t="n">
        <x:f>F84*Inputs!E34*Inputs!E40</x:f>
        <x:v>48000</x:v>
      </x:c>
      <x:c r="G90" s="23" t="n">
        <x:f>G84*Inputs!E34*Inputs!E40</x:f>
        <x:v>48000</x:v>
      </x:c>
      <x:c r="H90" s="23" t="n">
        <x:f>H84*Inputs!E34*Inputs!E40</x:f>
        <x:v>48000</x:v>
      </x:c>
      <x:c r="I90" s="3"/>
      <x:c r="J90" s="3"/>
    </x:row>
    <x:row r="91" ht="23" customHeight="1">
      <x:c r="A91" s="3"/>
      <x:c r="B91" s="3"/>
      <x:c r="C91" s="3" t="str">
        <x:v>ต้นทุนบริการร่วม</x:v>
      </x:c>
      <x:c r="D91" s="3"/>
      <x:c r="E91" s="3"/>
      <x:c r="F91" s="23" t="n">
        <x:f>Inputs!E47</x:f>
        <x:v>720000</x:v>
      </x:c>
      <x:c r="G91" s="23" t="n">
        <x:f>Inputs!E47</x:f>
        <x:v>720000</x:v>
      </x:c>
      <x:c r="H91" s="23" t="n">
        <x:f>Inputs!E47</x:f>
        <x:v>720000</x:v>
      </x:c>
      <x:c r="I91" s="3"/>
      <x:c r="J91" s="3"/>
    </x:row>
    <x:row r="92" ht="23" customHeight="1">
      <x:c r="A92" s="3"/>
      <x:c r="B92" s="3"/>
      <x:c r="C92" s="8" t="str">
        <x:v>ส่วนเหลือก่อน R&amp;D และงานขาย</x:v>
      </x:c>
      <x:c r="D92" s="8"/>
      <x:c r="E92" s="8"/>
      <x:c r="F92" s="32" t="n">
        <x:f>F88-SUM(F89:F91)</x:f>
        <x:v>-512400</x:v>
      </x:c>
      <x:c r="G92" s="32" t="n">
        <x:f>G88-SUM(G89:G91)</x:f>
        <x:v>-77880</x:v>
      </x:c>
      <x:c r="H92" s="32" t="n">
        <x:f>H88-SUM(H89:H91)</x:f>
        <x:v>291461.99999999977</x:v>
      </x:c>
      <x:c r="I92" s="3"/>
      <x:c r="J92" s="3"/>
    </x:row>
    <x:row r="93" ht="23" customHeight="1">
      <x:c r="A93" s="3"/>
      <x:c r="B93" s="3"/>
      <x:c r="C93" s="18" t="str">
        <x:v>ส่วนเหลือ / รายได้</x:v>
      </x:c>
      <x:c r="D93" s="18"/>
      <x:c r="E93" s="18"/>
      <x:c r="F93" s="19" t="n">
        <x:f>IF(F88=0,"n.a.",F92/F88)</x:f>
        <x:v>-1.708</x:v>
      </x:c>
      <x:c r="G93" s="19" t="n">
        <x:f>IF(G88=0,"n.a.",G92/G88)</x:f>
        <x:v>-0.09614814814814815</x:v>
      </x:c>
      <x:c r="H93" s="19" t="n">
        <x:f>IF(H88=0,"n.a.",H92/H88)</x:f>
        <x:v>0.23438841978287078</x:v>
      </x:c>
      <x:c r="I93" s="3"/>
      <x:c r="J93" s="3"/>
    </x:row>
    <x:row r="94" ht="23" customHeight="1">
      <x:c r="A94" s="3"/>
      <x:c r="B94" s="3"/>
      <x:c r="C94" s="3" t="str">
        <x:v>ส่วนต่างลูกค้าปลายปีเกิน SAM</x:v>
      </x:c>
      <x:c r="D94" s="3"/>
      <x:c r="E94" s="3"/>
      <x:c r="F94" s="14" t="n">
        <x:f>MAX(0,F85-$F72)</x:f>
        <x:v>0</x:v>
      </x:c>
      <x:c r="G94" s="14" t="n">
        <x:f>MAX(0,G85-$F72)</x:f>
        <x:v>0</x:v>
      </x:c>
      <x:c r="H94" s="14" t="n">
        <x:f>MAX(0,H85-$F72)</x:f>
        <x:v>0</x:v>
      </x:c>
      <x:c r="I94" s="3"/>
      <x:c r="J94" s="3"/>
    </x:row>
    <x:row r="95" ht="23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</x:row>
    <x:row r="96" ht="23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</x:row>
    <x:row r="97" ht="23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</x:row>
    <x:row r="98" ht="23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</x:row>
    <x:row r="99" ht="23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</x:row>
    <x:row r="100" ht="23" customHeight="1">
      <x:c r="A100" s="3"/>
      <x:c r="B100" s="3"/>
      <x:c r="C100" s="6" t="str">
        <x:v>A คุณค่าต่อผู้ซื้อและความไวของสมมติฐาน</x:v>
      </x:c>
      <x:c r="D100" s="6"/>
      <x:c r="E100" s="6"/>
      <x:c r="F100" s="6"/>
      <x:c r="G100" s="6"/>
      <x:c r="H100" s="6"/>
      <x:c r="I100" s="3"/>
      <x:c r="J100" s="3"/>
    </x:row>
    <x:row r="101" ht="23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</x:row>
    <x:row r="102" ht="23" customHeight="1">
      <x:c r="A102" s="3"/>
      <x:c r="B102" s="3"/>
      <x:c r="C102" s="3" t="str">
        <x:v>มูลค่าเวลาที่ลดได้ต่อปี (THB)</x:v>
      </x:c>
      <x:c r="D102" s="3"/>
      <x:c r="E102" s="3"/>
      <x:c r="F102" s="23" t="n">
        <x:f>Inputs!E41*Inputs!E42*Inputs!E43*Inputs!E44*12</x:f>
        <x:v>842400</x:v>
      </x:c>
      <x:c r="G102" s="3"/>
      <x:c r="H102" s="3"/>
      <x:c r="I102" s="3"/>
      <x:c r="J102" s="3"/>
    </x:row>
    <x:row r="103" ht="23" customHeight="1">
      <x:c r="A103" s="3"/>
      <x:c r="B103" s="3"/>
      <x:c r="C103" s="3" t="str">
        <x:v>ราคา A ต่อปี (THB)</x:v>
      </x:c>
      <x:c r="D103" s="3"/>
      <x:c r="E103" s="3"/>
      <x:c r="F103" s="23" t="n">
        <x:f>Inputs!E11</x:f>
        <x:v>1200000</x:v>
      </x:c>
      <x:c r="G103" s="3"/>
      <x:c r="H103" s="3"/>
      <x:c r="I103" s="3"/>
      <x:c r="J103" s="3"/>
    </x:row>
    <x:row r="104" ht="23" customHeight="1">
      <x:c r="A104" s="3"/>
      <x:c r="B104" s="3"/>
      <x:c r="C104" s="3" t="str">
        <x:v>มูลค่าเวลา / ราคา</x:v>
      </x:c>
      <x:c r="D104" s="3"/>
      <x:c r="E104" s="3"/>
      <x:c r="F104" s="14" t="n">
        <x:f>IF(F103=0,"n.a.",F102/F103)</x:f>
        <x:v>0.702</x:v>
      </x:c>
      <x:c r="G104" s="3"/>
      <x:c r="H104" s="3"/>
      <x:c r="I104" s="3"/>
      <x:c r="J104" s="3"/>
    </x:row>
    <x:row r="105" ht="23" customHeight="1">
      <x:c r="A105" s="3"/>
      <x:c r="B105" s="3"/>
      <x:c r="C105" s="3" t="str">
        <x:v>เคส/เดือนขั้นต่ำให้มูลค่าเท่าราคา</x:v>
      </x:c>
      <x:c r="D105" s="3"/>
      <x:c r="E105" s="3"/>
      <x:c r="F105" s="23" t="n">
        <x:f>IF(Inputs!E42*Inputs!E43*Inputs!E44=0,"n.a.",F103/(12*Inputs!E42*Inputs!E43*Inputs!E44))</x:f>
        <x:v>2136.7521367521367</x:v>
      </x:c>
      <x:c r="G105" s="3"/>
      <x:c r="H105" s="3"/>
      <x:c r="I105" s="3"/>
      <x:c r="J105" s="3"/>
    </x:row>
    <x:row r="106" ht="23" customHeight="1">
      <x:c r="A106" s="3"/>
      <x:c r="B106" s="3"/>
      <x:c r="C106" s="3" t="str">
        <x:v>เคส/เดือนขั้นต่ำให้มูลค่า 1.5 เท่าราคา</x:v>
      </x:c>
      <x:c r="D106" s="3"/>
      <x:c r="E106" s="3"/>
      <x:c r="F106" s="14" t="n">
        <x:f>IF(ISNUMBER(F105),F105*1.5,"n.a.")</x:f>
        <x:v>3205.128205128205</x:v>
      </x:c>
      <x:c r="G106" s="3"/>
      <x:c r="H106" s="3"/>
      <x:c r="I106" s="3"/>
      <x:c r="J106" s="3"/>
    </x:row>
    <x:row r="107" ht="23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</x:row>
    <x:row r="108" ht="23" customHeight="1">
      <x:c r="A108" s="3"/>
      <x:c r="B108" s="3"/>
      <x:c r="C108" s="3" t="str">
        <x:v>เกณฑ์ 1.5 เท่าเป็นเกณฑ์ตัดสินที่เสนอ ไม่ใช่หลักฐานประสิทธิผล</x:v>
      </x:c>
      <x:c r="D108" s="3"/>
      <x:c r="E108" s="3"/>
      <x:c r="F108" s="3"/>
      <x:c r="G108" s="3"/>
      <x:c r="H108" s="3"/>
      <x:c r="I108" s="3"/>
      <x:c r="J108" s="3"/>
    </x:row>
    <x:row r="109" ht="23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</x:row>
    <x:row r="110" ht="23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</x:row>
    <x:row r="111" ht="23" customHeight="1">
      <x:c r="A111" s="3"/>
      <x:c r="B111" s="3"/>
      <x:c r="C111" s="3" t="str">
        <x:v>เปลี่ยนหนึ่งตัวแปร</x:v>
      </x:c>
      <x:c r="D111" s="3" t="str">
        <x:v>75%</x:v>
      </x:c>
      <x:c r="E111" s="3" t="str">
        <x:v>100%</x:v>
      </x:c>
      <x:c r="F111" s="3" t="str">
        <x:v>125%</x:v>
      </x:c>
      <x:c r="G111" s="3"/>
      <x:c r="H111" s="3"/>
      <x:c r="I111" s="3"/>
      <x:c r="J111" s="3"/>
    </x:row>
    <x:row r="112" ht="23" customHeight="1">
      <x:c r="A112" s="3"/>
      <x:c r="B112" s="3"/>
      <x:c r="C112" s="3" t="str">
        <x:v>A TAM เมื่อราคาเปลี่ยน</x:v>
      </x:c>
      <x:c r="D112" s="14" t="n">
        <x:f>$F$11*0.75</x:f>
        <x:v>43200000</x:v>
      </x:c>
      <x:c r="E112" s="14" t="n">
        <x:f>$F$11*1</x:f>
        <x:v>57600000</x:v>
      </x:c>
      <x:c r="F112" s="14" t="n">
        <x:f>$F$11*1.25</x:f>
        <x:v>72000000</x:v>
      </x:c>
      <x:c r="G112" s="3"/>
      <x:c r="H112" s="3"/>
      <x:c r="I112" s="3"/>
      <x:c r="J112" s="3"/>
    </x:row>
    <x:row r="113" ht="23" customHeight="1">
      <x:c r="A113" s="3"/>
      <x:c r="B113" s="3"/>
      <x:c r="C113" s="3" t="str">
        <x:v>A ARR ปี 3 เมื่อราคาเปลี่ยน</x:v>
      </x:c>
      <x:c r="D113" s="14" t="n">
        <x:f>$H$26*0.75</x:f>
        <x:v>4878000</x:v>
      </x:c>
      <x:c r="E113" s="14" t="n">
        <x:f>$H$26*1</x:f>
        <x:v>6504000</x:v>
      </x:c>
      <x:c r="F113" s="14" t="n">
        <x:f>$H$26*1.25</x:f>
        <x:v>8130000</x:v>
      </x:c>
      <x:c r="G113" s="3"/>
      <x:c r="H113" s="3"/>
      <x:c r="I113" s="3"/>
      <x:c r="J113" s="3"/>
    </x:row>
    <x:row r="114" ht="23" customHeight="1">
      <x:c r="A114" s="3"/>
      <x:c r="B114" s="3"/>
      <x:c r="C114" s="3" t="str">
        <x:v>A คุณค่า/ราคา เมื่อเคสเปลี่ยน</x:v>
      </x:c>
      <x:c r="D114" s="14" t="n">
        <x:f>IF($F$103=0,"n.a.",$F$102*0.75/$F$103)</x:f>
        <x:v>0.5265</x:v>
      </x:c>
      <x:c r="E114" s="14" t="n">
        <x:f>IF($F$103=0,"n.a.",$F$102*1/$F$103)</x:f>
        <x:v>0.702</x:v>
      </x:c>
      <x:c r="F114" s="14" t="n">
        <x:f>IF($F$103=0,"n.a.",$F$102*1.25/$F$103)</x:f>
        <x:v>0.8775</x:v>
      </x:c>
      <x:c r="G114" s="3"/>
      <x:c r="H114" s="3"/>
      <x:c r="I114" s="3"/>
      <x:c r="J114" s="3"/>
    </x:row>
    <x:row r="115" ht="23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</x:row>
    <x:row r="116" ht="23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</x:row>
    <x:row r="117" ht="23" customHeight="1">
      <x:c r="A117" s="3"/>
      <x:c r="B117" s="3"/>
      <x:c r="C117" s="3" t="str">
        <x:v>การเปลี่ยนราคาไม่ได้จำลองผลต่ออัตราซื้อ ต้องทดสอบ demand ต่างหาก</x:v>
      </x:c>
      <x:c r="D117" s="3"/>
      <x:c r="E117" s="3"/>
      <x:c r="F117" s="3"/>
      <x:c r="G117" s="3"/>
      <x:c r="H117" s="3"/>
      <x:c r="I117" s="3"/>
      <x:c r="J117" s="3"/>
    </x:row>
    <x:row r="118" ht="23" customHeight="1">
      <x:c r="A118" s="3"/>
      <x:c r="B118" s="3"/>
      <x:c r="C118" s="3" t="str">
        <x:v>TAM A/C ลด 20% หากงบผู้ซื้อถูกรวม/ขอบเขตไม่ตรง (สมมติฐาน)</x:v>
      </x:c>
      <x:c r="D118" s="3"/>
      <x:c r="E118" s="3"/>
      <x:c r="F118" s="3"/>
      <x:c r="G118" s="3"/>
      <x:c r="H118" s="3"/>
      <x:c r="I118" s="3"/>
      <x:c r="J118" s="3"/>
    </x:row>
    <x:row r="119" ht="23" customHeight="1">
      <x:c r="A119" s="3"/>
      <x:c r="B119" s="3"/>
      <x:c r="C119" s="3" t="str">
        <x:v>A TAM หลังลดผู้ซื้อ 20%</x:v>
      </x:c>
      <x:c r="D119" s="3"/>
      <x:c r="E119" s="3"/>
      <x:c r="F119" s="14" t="n">
        <x:f>F11*0.8</x:f>
        <x:v>46080000</x:v>
      </x:c>
      <x:c r="G119" s="3"/>
      <x:c r="H119" s="3"/>
      <x:c r="I119" s="3"/>
      <x:c r="J119" s="3"/>
    </x:row>
    <x:row r="120" ht="23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</x:row>
    <x:row r="121" ht="23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</x:row>
    <x:row r="122" ht="23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</x:row>
    <x:row r="123" ht="23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</x:row>
    <x:row r="124" ht="23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</x:row>
    <x:row r="125" ht="23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</x:row>
    <x:row r="126" ht="23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</x:row>
    <x:row r="127" ht="23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</x:row>
    <x:row r="128" ht="23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47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80" hidden="0" customWidth="1"/>
    <x:col min="13" max="13" width="60" hidden="0" customWidth="1"/>
    <x:col min="14" max="14" width="18" hidden="0" customWidth="1"/>
  </x:cols>
  <x:sheetData>
    <x:row r="1" ht="23" customHeight="1">
      <x:c r="A1" s="6" t="str">
        <x:v>รายชื่อผู้ให้บริการและกลุ่มผู้ซื้อสมมติ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23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3" customHeight="1">
      <x:c r="A3" s="3" t="str">
        <x:v>ทะเบียน 68 ชื่อ + แพลตฟอร์ม 9 กลุ่ม; ตัวเลข 1/0 เป็นขอบเขตจำลองที่แก้ได้ ไม่ยืนยันความพร้อมซื้อ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3" customHeight="1">
      <x:c r="A4" s="3" t="str">
        <x:v>A/C รวม 48 รายเป็นขอบเขตทำงาน ไม่ใช่ TAM ประเทศที่พิสูจน์แล้ว; B เป็นรายชื่อที่ค้นพบ ยังไม่ครบตลาด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23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 ht="23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ht="23" customHeight="1">
      <x:c r="A7" s="8" t="str">
        <x:v>ID</x:v>
      </x:c>
      <x:c r="B7" s="8" t="str">
        <x:v>ชื่อองค์กร/กลุ่ม</x:v>
      </x:c>
      <x:c r="C7" s="8" t="str">
        <x:v>ประเภท</x:v>
      </x:c>
      <x:c r="D7" s="8" t="str">
        <x:v>TAM A/C</x:v>
      </x:c>
      <x:c r="E7" s="8" t="str">
        <x:v>SAM ต่ำ</x:v>
      </x:c>
      <x:c r="F7" s="8" t="str">
        <x:v>SAM ฐาน</x:v>
      </x:c>
      <x:c r="G7" s="8" t="str">
        <x:v>SAM สูง</x:v>
      </x:c>
      <x:c r="H7" s="8" t="str">
        <x:v>TAM B</x:v>
      </x:c>
      <x:c r="I7" s="8" t="str">
        <x:v>B ต่ำ</x:v>
      </x:c>
      <x:c r="J7" s="8" t="str">
        <x:v>B ฐาน</x:v>
      </x:c>
      <x:c r="K7" s="8" t="str">
        <x:v>B สูง</x:v>
      </x:c>
      <x:c r="L7" s="8" t="str">
        <x:v>ที่มา URL</x:v>
      </x:c>
      <x:c r="M7" s="8" t="str">
        <x:v>เหตุผล/ข้อจำกัด</x:v>
      </x:c>
      <x:c r="N7" s="8" t="str">
        <x:v>เข้าถึง</x:v>
      </x:c>
    </x:row>
    <x:row r="8" ht="46" customHeight="1">
      <x:c r="A8" s="3" t="str">
        <x:v>F001</x:v>
      </x:c>
      <x:c r="B8" s="11" t="str">
        <x:v>ธนาคารกรุงศรีอยุธยา จำกัด (มหาชน)</x:v>
      </x:c>
      <x:c r="C8" s="11" t="str">
        <x:v>Bank</x:v>
      </x:c>
      <x:c r="D8" s="10" t="n">
        <x:v>1</x:v>
      </x:c>
      <x:c r="E8" s="10" t="n">
        <x:v>0</x:v>
      </x:c>
      <x:c r="F8" s="10" t="n">
        <x:v>1</x:v>
      </x:c>
      <x:c r="G8" s="10" t="n">
        <x:v>1</x:v>
      </x:c>
      <x:c r="H8" s="10" t="n">
        <x:v>0</x:v>
      </x:c>
      <x:c r="I8" s="10" t="n">
        <x:v>0</x:v>
      </x:c>
      <x:c r="J8" s="10" t="n">
        <x:v>0</x:v>
      </x:c>
      <x:c r="K8" s="10" t="n">
        <x:v>0</x:v>
      </x:c>
      <x:c r="L8" s="11" t="str">
        <x:v>https://www.bot.or.th/th/our-roles/payment-systems/payment-act-oversight/business-provider.html</x:v>
      </x:c>
      <x:c r="M8" s="11" t="str">
        <x:v>รวมในขอบเขตจำลอง consumer-account review; ไม่อนุมานคุณสมบัติจากใบอนุญาตเพียงอย่างเดียว</x:v>
      </x:c>
      <x:c r="N8" s="3" t="str">
        <x:v>2026-09-25</x:v>
      </x:c>
    </x:row>
    <x:row r="9" ht="46" customHeight="1">
      <x:c r="A9" s="3" t="str">
        <x:v>F002</x:v>
      </x:c>
      <x:c r="B9" s="11" t="str">
        <x:v>ธนาคารกรุงเทพ จำกัด (มหาชน)</x:v>
      </x:c>
      <x:c r="C9" s="11" t="str">
        <x:v>Bank</x:v>
      </x:c>
      <x:c r="D9" s="10" t="n">
        <x:v>1</x:v>
      </x:c>
      <x:c r="E9" s="10" t="n">
        <x:v>0</x:v>
      </x:c>
      <x:c r="F9" s="10" t="n">
        <x:v>0</x:v>
      </x:c>
      <x:c r="G9" s="10" t="n">
        <x:v>1</x:v>
      </x:c>
      <x:c r="H9" s="10" t="n">
        <x:v>0</x:v>
      </x:c>
      <x:c r="I9" s="10" t="n">
        <x:v>0</x:v>
      </x:c>
      <x:c r="J9" s="10" t="n">
        <x:v>0</x:v>
      </x:c>
      <x:c r="K9" s="10" t="n">
        <x:v>0</x:v>
      </x:c>
      <x:c r="L9" s="11" t="str">
        <x:v>https://www.bot.or.th/th/our-roles/payment-systems/payment-act-oversight/business-provider.html</x:v>
      </x:c>
      <x:c r="M9" s="11" t="str">
        <x:v>รวมในขอบเขตจำลอง consumer-account review; ไม่อนุมานคุณสมบัติจากใบอนุญาตเพียงอย่างเดียว</x:v>
      </x:c>
      <x:c r="N9" s="3" t="str">
        <x:v>2026-09-25</x:v>
      </x:c>
    </x:row>
    <x:row r="10" ht="46" customHeight="1">
      <x:c r="A10" s="3" t="str">
        <x:v>F003</x:v>
      </x:c>
      <x:c r="B10" s="11" t="str">
        <x:v>ธนาคารกรุงไทย จำกัด (มหาชน)</x:v>
      </x:c>
      <x:c r="C10" s="11" t="str">
        <x:v>Bank</x:v>
      </x:c>
      <x:c r="D10" s="10" t="n">
        <x:v>1</x:v>
      </x:c>
      <x:c r="E10" s="10" t="n">
        <x:v>0</x:v>
      </x:c>
      <x:c r="F10" s="10" t="n">
        <x:v>1</x:v>
      </x:c>
      <x:c r="G10" s="10" t="n">
        <x:v>1</x:v>
      </x:c>
      <x:c r="H10" s="10" t="n">
        <x:v>0</x:v>
      </x:c>
      <x:c r="I10" s="10" t="n">
        <x:v>0</x:v>
      </x:c>
      <x:c r="J10" s="10" t="n">
        <x:v>0</x:v>
      </x:c>
      <x:c r="K10" s="10" t="n">
        <x:v>0</x:v>
      </x:c>
      <x:c r="L10" s="11" t="str">
        <x:v>https://www.bot.or.th/th/our-roles/payment-systems/payment-act-oversight/business-provider.html</x:v>
      </x:c>
      <x:c r="M10" s="11" t="str">
        <x:v>รวมในขอบเขตจำลอง consumer-account review; ไม่อนุมานคุณสมบัติจากใบอนุญาตเพียงอย่างเดียว</x:v>
      </x:c>
      <x:c r="N10" s="3" t="str">
        <x:v>2026-09-25</x:v>
      </x:c>
    </x:row>
    <x:row r="11" ht="46" customHeight="1">
      <x:c r="A11" s="3" t="str">
        <x:v>F004</x:v>
      </x:c>
      <x:c r="B11" s="11" t="str">
        <x:v>ธนาคารกสิกรไทย จำกัด (มหาชน)</x:v>
      </x:c>
      <x:c r="C11" s="11" t="str">
        <x:v>Bank</x:v>
      </x:c>
      <x:c r="D11" s="10" t="n">
        <x:v>1</x:v>
      </x:c>
      <x:c r="E11" s="10" t="n">
        <x:v>0</x:v>
      </x:c>
      <x:c r="F11" s="10" t="n">
        <x:v>1</x:v>
      </x:c>
      <x:c r="G11" s="10" t="n">
        <x:v>1</x:v>
      </x:c>
      <x:c r="H11" s="10" t="n">
        <x:v>0</x:v>
      </x:c>
      <x:c r="I11" s="10" t="n">
        <x:v>0</x:v>
      </x:c>
      <x:c r="J11" s="10" t="n">
        <x:v>0</x:v>
      </x:c>
      <x:c r="K11" s="10" t="n">
        <x:v>0</x:v>
      </x:c>
      <x:c r="L11" s="11" t="str">
        <x:v>https://www.bot.or.th/th/our-roles/payment-systems/payment-act-oversight/business-provider.html</x:v>
      </x:c>
      <x:c r="M11" s="11" t="str">
        <x:v>รวมในขอบเขตจำลอง consumer-account review; ไม่อนุมานคุณสมบัติจากใบอนุญาตเพียงอย่างเดียว</x:v>
      </x:c>
      <x:c r="N11" s="3" t="str">
        <x:v>2026-09-25</x:v>
      </x:c>
    </x:row>
    <x:row r="12" ht="46" customHeight="1">
      <x:c r="A12" s="3" t="str">
        <x:v>F005</x:v>
      </x:c>
      <x:c r="B12" s="11" t="str">
        <x:v>ธนาคารคลิกซ์ จำกัด (มหาชน)</x:v>
      </x:c>
      <x:c r="C12" s="11" t="str">
        <x:v>Bank</x:v>
      </x:c>
      <x:c r="D12" s="10" t="n">
        <x:v>1</x:v>
      </x:c>
      <x:c r="E12" s="10" t="n">
        <x:v>0</x:v>
      </x:c>
      <x:c r="F12" s="10" t="n">
        <x:v>0</x:v>
      </x:c>
      <x:c r="G12" s="10" t="n">
        <x:v>0</x:v>
      </x:c>
      <x:c r="H12" s="10" t="n">
        <x:v>0</x:v>
      </x:c>
      <x:c r="I12" s="10" t="n">
        <x:v>0</x:v>
      </x:c>
      <x:c r="J12" s="10" t="n">
        <x:v>0</x:v>
      </x:c>
      <x:c r="K12" s="10" t="n">
        <x:v>0</x:v>
      </x:c>
      <x:c r="L12" s="11" t="str">
        <x:v>https://www.bot.or.th/th/our-roles/payment-systems/payment-act-oversight/business-provider.html</x:v>
      </x:c>
      <x:c r="M12" s="11" t="str">
        <x:v>รวมในขอบเขตจำลอง consumer-account review; ไม่อนุมานคุณสมบัติจากใบอนุญาตเพียงอย่างเดียว</x:v>
      </x:c>
      <x:c r="N12" s="3" t="str">
        <x:v>2026-09-25</x:v>
      </x:c>
    </x:row>
    <x:row r="13" ht="46" customHeight="1">
      <x:c r="A13" s="3" t="str">
        <x:v>F006</x:v>
      </x:c>
      <x:c r="B13" s="11" t="str">
        <x:v>ธนาคารซิตี้แบงก์ เอ็น.เอ.</x:v>
      </x:c>
      <x:c r="C13" s="11" t="str">
        <x:v>Bank</x:v>
      </x:c>
      <x:c r="D13" s="10" t="n">
        <x:v>0</x:v>
      </x:c>
      <x:c r="E13" s="10" t="n">
        <x:v>0</x:v>
      </x:c>
      <x:c r="F13" s="10" t="n">
        <x:v>0</x:v>
      </x:c>
      <x:c r="G13" s="10" t="n">
        <x:v>0</x:v>
      </x:c>
      <x:c r="H13" s="10" t="n">
        <x:v>0</x:v>
      </x:c>
      <x:c r="I13" s="10" t="n">
        <x:v>0</x:v>
      </x:c>
      <x:c r="J13" s="10" t="n">
        <x:v>0</x:v>
      </x:c>
      <x:c r="K13" s="10" t="n">
        <x:v>0</x:v>
      </x:c>
      <x:c r="L13" s="11" t="str">
        <x:v>https://www.bot.or.th/th/our-roles/payment-systems/payment-act-oversight/business-provider.html</x:v>
      </x:c>
      <x:c r="M13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13" s="3" t="str">
        <x:v>2026-09-25</x:v>
      </x:c>
    </x:row>
    <x:row r="14" ht="46" customHeight="1">
      <x:c r="A14" s="3" t="str">
        <x:v>F007</x:v>
      </x:c>
      <x:c r="B14" s="11" t="str">
        <x:v>ธนาคารซีไอเอ็มบี ไทย จำกัด (มหาชน)</x:v>
      </x:c>
      <x:c r="C14" s="11" t="str">
        <x:v>Bank</x:v>
      </x:c>
      <x:c r="D14" s="10" t="n">
        <x:v>1</x:v>
      </x:c>
      <x:c r="E14" s="10" t="n">
        <x:v>0</x:v>
      </x:c>
      <x:c r="F14" s="10" t="n">
        <x:v>0</x:v>
      </x:c>
      <x:c r="G14" s="10" t="n">
        <x:v>1</x:v>
      </x:c>
      <x:c r="H14" s="10" t="n">
        <x:v>0</x:v>
      </x:c>
      <x:c r="I14" s="10" t="n">
        <x:v>0</x:v>
      </x:c>
      <x:c r="J14" s="10" t="n">
        <x:v>0</x:v>
      </x:c>
      <x:c r="K14" s="10" t="n">
        <x:v>0</x:v>
      </x:c>
      <x:c r="L14" s="11" t="str">
        <x:v>https://www.bot.or.th/th/our-roles/payment-systems/payment-act-oversight/business-provider.html</x:v>
      </x:c>
      <x:c r="M14" s="11" t="str">
        <x:v>รวมในขอบเขตจำลอง consumer-account review; ไม่อนุมานคุณสมบัติจากใบอนุญาตเพียงอย่างเดียว</x:v>
      </x:c>
      <x:c r="N14" s="3" t="str">
        <x:v>2026-09-25</x:v>
      </x:c>
    </x:row>
    <x:row r="15" ht="46" customHeight="1">
      <x:c r="A15" s="3" t="str">
        <x:v>F008</x:v>
      </x:c>
      <x:c r="B15" s="11" t="str">
        <x:v>ธนาคารซูมิโตโม มิตซุย ทรัสต์ (ไทย) จำกัด (มหาชน)</x:v>
      </x:c>
      <x:c r="C15" s="11" t="str">
        <x:v>Bank</x:v>
      </x:c>
      <x:c r="D15" s="10" t="n">
        <x:v>0</x:v>
      </x:c>
      <x:c r="E15" s="10" t="n">
        <x:v>0</x:v>
      </x:c>
      <x:c r="F15" s="10" t="n">
        <x:v>0</x:v>
      </x:c>
      <x:c r="G15" s="10" t="n">
        <x:v>0</x:v>
      </x:c>
      <x:c r="H15" s="10" t="n">
        <x:v>0</x:v>
      </x:c>
      <x:c r="I15" s="10" t="n">
        <x:v>0</x:v>
      </x:c>
      <x:c r="J15" s="10" t="n">
        <x:v>0</x:v>
      </x:c>
      <x:c r="K15" s="10" t="n">
        <x:v>0</x:v>
      </x:c>
      <x:c r="L15" s="11" t="str">
        <x:v>https://www.bot.or.th/th/our-roles/payment-systems/payment-act-oversight/business-provider.html</x:v>
      </x:c>
      <x:c r="M15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15" s="3" t="str">
        <x:v>2026-09-25</x:v>
      </x:c>
    </x:row>
    <x:row r="16" ht="46" customHeight="1">
      <x:c r="A16" s="3" t="str">
        <x:v>F009</x:v>
      </x:c>
      <x:c r="B16" s="11" t="str">
        <x:v>ธนาคารซูมิโตโม มิตซุย แบงกิ้ง คอร์ปอเรชั่น</x:v>
      </x:c>
      <x:c r="C16" s="11" t="str">
        <x:v>Bank</x:v>
      </x:c>
      <x:c r="D16" s="10" t="n">
        <x:v>0</x:v>
      </x:c>
      <x:c r="E16" s="10" t="n">
        <x:v>0</x:v>
      </x:c>
      <x:c r="F16" s="10" t="n">
        <x:v>0</x:v>
      </x:c>
      <x:c r="G16" s="10" t="n">
        <x:v>0</x:v>
      </x:c>
      <x:c r="H16" s="10" t="n">
        <x:v>0</x:v>
      </x:c>
      <x:c r="I16" s="10" t="n">
        <x:v>0</x:v>
      </x:c>
      <x:c r="J16" s="10" t="n">
        <x:v>0</x:v>
      </x:c>
      <x:c r="K16" s="10" t="n">
        <x:v>0</x:v>
      </x:c>
      <x:c r="L16" s="11" t="str">
        <x:v>https://www.bot.or.th/th/our-roles/payment-systems/payment-act-oversight/business-provider.html</x:v>
      </x:c>
      <x:c r="M16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16" s="3" t="str">
        <x:v>2026-09-25</x:v>
      </x:c>
    </x:row>
    <x:row r="17" ht="46" customHeight="1">
      <x:c r="A17" s="3" t="str">
        <x:v>F010</x:v>
      </x:c>
      <x:c r="B17" s="11" t="str">
        <x:v>ธนาคารดอยซ์แบงก์</x:v>
      </x:c>
      <x:c r="C17" s="11" t="str">
        <x:v>Bank</x:v>
      </x:c>
      <x:c r="D17" s="10" t="n">
        <x:v>0</x:v>
      </x:c>
      <x:c r="E17" s="10" t="n">
        <x:v>0</x:v>
      </x:c>
      <x:c r="F17" s="10" t="n">
        <x:v>0</x:v>
      </x:c>
      <x:c r="G17" s="10" t="n">
        <x:v>0</x:v>
      </x:c>
      <x:c r="H17" s="10" t="n">
        <x:v>0</x:v>
      </x:c>
      <x:c r="I17" s="10" t="n">
        <x:v>0</x:v>
      </x:c>
      <x:c r="J17" s="10" t="n">
        <x:v>0</x:v>
      </x:c>
      <x:c r="K17" s="10" t="n">
        <x:v>0</x:v>
      </x:c>
      <x:c r="L17" s="11" t="str">
        <x:v>https://www.bot.or.th/th/our-roles/payment-systems/payment-act-oversight/business-provider.html</x:v>
      </x:c>
      <x:c r="M17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17" s="3" t="str">
        <x:v>2026-09-25</x:v>
      </x:c>
    </x:row>
    <x:row r="18" ht="46" customHeight="1">
      <x:c r="A18" s="3" t="str">
        <x:v>F011</x:v>
      </x:c>
      <x:c r="B18" s="11" t="str">
        <x:v>ธนาคารทหารไทยธนชาต จำกัด (มหาชน)</x:v>
      </x:c>
      <x:c r="C18" s="11" t="str">
        <x:v>Bank</x:v>
      </x:c>
      <x:c r="D18" s="10" t="n">
        <x:v>1</x:v>
      </x:c>
      <x:c r="E18" s="10" t="n">
        <x:v>0</x:v>
      </x:c>
      <x:c r="F18" s="10" t="n">
        <x:v>1</x:v>
      </x:c>
      <x:c r="G18" s="10" t="n">
        <x:v>1</x:v>
      </x:c>
      <x:c r="H18" s="10" t="n">
        <x:v>0</x:v>
      </x:c>
      <x:c r="I18" s="10" t="n">
        <x:v>0</x:v>
      </x:c>
      <x:c r="J18" s="10" t="n">
        <x:v>0</x:v>
      </x:c>
      <x:c r="K18" s="10" t="n">
        <x:v>0</x:v>
      </x:c>
      <x:c r="L18" s="11" t="str">
        <x:v>https://www.bot.or.th/th/our-roles/payment-systems/payment-act-oversight/business-provider.html</x:v>
      </x:c>
      <x:c r="M18" s="11" t="str">
        <x:v>รวมในขอบเขตจำลอง consumer-account review; ไม่อนุมานคุณสมบัติจากใบอนุญาตเพียงอย่างเดียว</x:v>
      </x:c>
      <x:c r="N18" s="3" t="str">
        <x:v>2026-09-25</x:v>
      </x:c>
    </x:row>
    <x:row r="19" ht="46" customHeight="1">
      <x:c r="A19" s="3" t="str">
        <x:v>F012</x:v>
      </x:c>
      <x:c r="B19" s="11" t="str">
        <x:v>ธนาคารทิสโก้ จำกัด (มหาชน)</x:v>
      </x:c>
      <x:c r="C19" s="11" t="str">
        <x:v>Bank</x:v>
      </x:c>
      <x:c r="D19" s="10" t="n">
        <x:v>1</x:v>
      </x:c>
      <x:c r="E19" s="10" t="n">
        <x:v>0</x:v>
      </x:c>
      <x:c r="F19" s="10" t="n">
        <x:v>0</x:v>
      </x:c>
      <x:c r="G19" s="10" t="n">
        <x:v>0</x:v>
      </x:c>
      <x:c r="H19" s="10" t="n">
        <x:v>0</x:v>
      </x:c>
      <x:c r="I19" s="10" t="n">
        <x:v>0</x:v>
      </x:c>
      <x:c r="J19" s="10" t="n">
        <x:v>0</x:v>
      </x:c>
      <x:c r="K19" s="10" t="n">
        <x:v>0</x:v>
      </x:c>
      <x:c r="L19" s="11" t="str">
        <x:v>https://www.bot.or.th/th/our-roles/payment-systems/payment-act-oversight/business-provider.html</x:v>
      </x:c>
      <x:c r="M19" s="11" t="str">
        <x:v>รวมในขอบเขตจำลอง consumer-account review; ไม่อนุมานคุณสมบัติจากใบอนุญาตเพียงอย่างเดียว</x:v>
      </x:c>
      <x:c r="N19" s="3" t="str">
        <x:v>2026-09-25</x:v>
      </x:c>
    </x:row>
    <x:row r="20" ht="46" customHeight="1">
      <x:c r="A20" s="3" t="str">
        <x:v>F013</x:v>
      </x:c>
      <x:c r="B20" s="11" t="str">
        <x:v>ธนาคารบีเอ็นพี พารีบาส์</x:v>
      </x:c>
      <x:c r="C20" s="11" t="str">
        <x:v>Bank</x:v>
      </x:c>
      <x:c r="D20" s="10" t="n">
        <x:v>0</x:v>
      </x:c>
      <x:c r="E20" s="10" t="n">
        <x:v>0</x:v>
      </x:c>
      <x:c r="F20" s="10" t="n">
        <x:v>0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1" t="str">
        <x:v>https://www.bot.or.th/th/our-roles/payment-systems/payment-act-oversight/business-provider.html</x:v>
      </x:c>
      <x:c r="M20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20" s="3" t="str">
        <x:v>2026-09-25</x:v>
      </x:c>
    </x:row>
    <x:row r="21" ht="46" customHeight="1">
      <x:c r="A21" s="3" t="str">
        <x:v>F014</x:v>
      </x:c>
      <x:c r="B21" s="11" t="str">
        <x:v>ธนาคารพัฒนาวิสาหกิจขนาดกลางและขนาดย่อมแห่งประเทศไทย</x:v>
      </x:c>
      <x:c r="C21" s="11" t="str">
        <x:v>Bank</x:v>
      </x:c>
      <x:c r="D21" s="10" t="n">
        <x:v>0</x:v>
      </x:c>
      <x:c r="E21" s="10" t="n">
        <x:v>0</x:v>
      </x:c>
      <x:c r="F21" s="10" t="n">
        <x:v>0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1" t="str">
        <x:v>https://www.bot.or.th/th/our-roles/payment-systems/payment-act-oversight/business-provider.html</x:v>
      </x:c>
      <x:c r="M21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21" s="3" t="str">
        <x:v>2026-09-25</x:v>
      </x:c>
    </x:row>
    <x:row r="22" ht="46" customHeight="1">
      <x:c r="A22" s="3" t="str">
        <x:v>F015</x:v>
      </x:c>
      <x:c r="B22" s="11" t="str">
        <x:v>ธนาคารมิซูโฮ จำกัด สาขากรุงเทพฯ</x:v>
      </x:c>
      <x:c r="C22" s="11" t="str">
        <x:v>Bank</x:v>
      </x:c>
      <x:c r="D22" s="10" t="n">
        <x:v>0</x:v>
      </x:c>
      <x:c r="E22" s="10" t="n">
        <x:v>0</x:v>
      </x:c>
      <x:c r="F22" s="10" t="n">
        <x:v>0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1" t="str">
        <x:v>https://www.bot.or.th/th/our-roles/payment-systems/payment-act-oversight/business-provider.html</x:v>
      </x:c>
      <x:c r="M22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22" s="3" t="str">
        <x:v>2026-09-25</x:v>
      </x:c>
    </x:row>
    <x:row r="23" ht="46" customHeight="1">
      <x:c r="A23" s="3" t="str">
        <x:v>F016</x:v>
      </x:c>
      <x:c r="B23" s="11" t="str">
        <x:v>ธนาคารยูโอบี จำกัด (มหาชน)</x:v>
      </x:c>
      <x:c r="C23" s="11" t="str">
        <x:v>Bank</x:v>
      </x:c>
      <x:c r="D23" s="10" t="n">
        <x:v>1</x:v>
      </x:c>
      <x:c r="E23" s="10" t="n">
        <x:v>0</x:v>
      </x:c>
      <x:c r="F23" s="10" t="n">
        <x:v>0</x:v>
      </x:c>
      <x:c r="G23" s="10" t="n">
        <x:v>1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1" t="str">
        <x:v>https://www.bot.or.th/th/our-roles/payment-systems/payment-act-oversight/business-provider.html</x:v>
      </x:c>
      <x:c r="M23" s="11" t="str">
        <x:v>รวมในขอบเขตจำลอง consumer-account review; ไม่อนุมานคุณสมบัติจากใบอนุญาตเพียงอย่างเดียว</x:v>
      </x:c>
      <x:c r="N23" s="3" t="str">
        <x:v>2026-09-25</x:v>
      </x:c>
    </x:row>
    <x:row r="24" ht="46" customHeight="1">
      <x:c r="A24" s="3" t="str">
        <x:v>F017</x:v>
      </x:c>
      <x:c r="B24" s="11" t="str">
        <x:v>ธนาคารสแตนดาร์ดชาร์เตอร์ด (ไทย) จำกัด (มหาชน)</x:v>
      </x:c>
      <x:c r="C24" s="11" t="str">
        <x:v>Bank</x:v>
      </x:c>
      <x:c r="D24" s="10" t="n">
        <x:v>0</x:v>
      </x:c>
      <x:c r="E24" s="10" t="n">
        <x:v>0</x:v>
      </x:c>
      <x:c r="F24" s="10" t="n">
        <x:v>0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1" t="str">
        <x:v>https://www.bot.or.th/th/our-roles/payment-systems/payment-act-oversight/business-provider.html</x:v>
      </x:c>
      <x:c r="M24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24" s="3" t="str">
        <x:v>2026-09-25</x:v>
      </x:c>
    </x:row>
    <x:row r="25" ht="46" customHeight="1">
      <x:c r="A25" s="3" t="str">
        <x:v>F018</x:v>
      </x:c>
      <x:c r="B25" s="11" t="str">
        <x:v>ธนาคารออมสิน</x:v>
      </x:c>
      <x:c r="C25" s="11" t="str">
        <x:v>Bank</x:v>
      </x:c>
      <x:c r="D25" s="10" t="n">
        <x:v>1</x:v>
      </x:c>
      <x:c r="E25" s="10" t="n">
        <x:v>0</x:v>
      </x:c>
      <x:c r="F25" s="10" t="n">
        <x:v>1</x:v>
      </x:c>
      <x:c r="G25" s="10" t="n">
        <x:v>1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1" t="str">
        <x:v>https://www.bot.or.th/th/our-roles/payment-systems/payment-act-oversight/business-provider.html</x:v>
      </x:c>
      <x:c r="M25" s="11" t="str">
        <x:v>รวมในขอบเขตจำลอง consumer-account review; ไม่อนุมานคุณสมบัติจากใบอนุญาตเพียงอย่างเดียว</x:v>
      </x:c>
      <x:c r="N25" s="3" t="str">
        <x:v>2026-09-25</x:v>
      </x:c>
    </x:row>
    <x:row r="26" ht="46" customHeight="1">
      <x:c r="A26" s="3" t="str">
        <x:v>F019</x:v>
      </x:c>
      <x:c r="B26" s="11" t="str">
        <x:v>ธนาคารอาคารสงเคราะห์</x:v>
      </x:c>
      <x:c r="C26" s="11" t="str">
        <x:v>Bank</x:v>
      </x:c>
      <x:c r="D26" s="10" t="n">
        <x:v>1</x:v>
      </x:c>
      <x:c r="E26" s="10" t="n">
        <x:v>0</x:v>
      </x:c>
      <x:c r="F26" s="10" t="n">
        <x:v>0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1" t="str">
        <x:v>https://www.bot.or.th/th/our-roles/payment-systems/payment-act-oversight/business-provider.html</x:v>
      </x:c>
      <x:c r="M26" s="11" t="str">
        <x:v>รวมในขอบเขตจำลอง consumer-account review; ไม่อนุมานคุณสมบัติจากใบอนุญาตเพียงอย่างเดียว</x:v>
      </x:c>
      <x:c r="N26" s="3" t="str">
        <x:v>2026-09-25</x:v>
      </x:c>
    </x:row>
    <x:row r="27" ht="46" customHeight="1">
      <x:c r="A27" s="3" t="str">
        <x:v>F020</x:v>
      </x:c>
      <x:c r="B27" s="11" t="str">
        <x:v>ธนาคารอาร์ เอช บี จำกัด</x:v>
      </x:c>
      <x:c r="C27" s="11" t="str">
        <x:v>Bank</x:v>
      </x:c>
      <x:c r="D27" s="10" t="n">
        <x:v>0</x:v>
      </x:c>
      <x:c r="E27" s="10" t="n">
        <x:v>0</x:v>
      </x:c>
      <x:c r="F27" s="10" t="n">
        <x:v>0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1" t="str">
        <x:v>https://www.bot.or.th/th/our-roles/payment-systems/payment-act-oversight/business-provider.html</x:v>
      </x:c>
      <x:c r="M27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27" s="3" t="str">
        <x:v>2026-09-25</x:v>
      </x:c>
    </x:row>
    <x:row r="28" ht="46" customHeight="1">
      <x:c r="A28" s="3" t="str">
        <x:v>F021</x:v>
      </x:c>
      <x:c r="B28" s="11" t="str">
        <x:v>ธนาคารอินเดียน โอเวอร์ซีส์</x:v>
      </x:c>
      <x:c r="C28" s="11" t="str">
        <x:v>Bank</x:v>
      </x:c>
      <x:c r="D28" s="10" t="n">
        <x:v>0</x:v>
      </x:c>
      <x:c r="E28" s="10" t="n">
        <x:v>0</x:v>
      </x:c>
      <x:c r="F28" s="10" t="n">
        <x:v>0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1" t="str">
        <x:v>https://www.bot.or.th/th/our-roles/payment-systems/payment-act-oversight/business-provider.html</x:v>
      </x:c>
      <x:c r="M28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28" s="3" t="str">
        <x:v>2026-09-25</x:v>
      </x:c>
    </x:row>
    <x:row r="29" ht="46" customHeight="1">
      <x:c r="A29" s="3" t="str">
        <x:v>F022</x:v>
      </x:c>
      <x:c r="B29" s="11" t="str">
        <x:v>ธนาคารอิสลามแห่งประเทศไทย</x:v>
      </x:c>
      <x:c r="C29" s="11" t="str">
        <x:v>Bank</x:v>
      </x:c>
      <x:c r="D29" s="10" t="n">
        <x:v>1</x:v>
      </x:c>
      <x:c r="E29" s="10" t="n">
        <x:v>0</x:v>
      </x:c>
      <x:c r="F29" s="10" t="n">
        <x:v>0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1" t="str">
        <x:v>https://www.bot.or.th/th/our-roles/payment-systems/payment-act-oversight/business-provider.html</x:v>
      </x:c>
      <x:c r="M29" s="11" t="str">
        <x:v>รวมในขอบเขตจำลอง consumer-account review; ไม่อนุมานคุณสมบัติจากใบอนุญาตเพียงอย่างเดียว</x:v>
      </x:c>
      <x:c r="N29" s="3" t="str">
        <x:v>2026-09-25</x:v>
      </x:c>
    </x:row>
    <x:row r="30" ht="46" customHeight="1">
      <x:c r="A30" s="3" t="str">
        <x:v>F023</x:v>
      </x:c>
      <x:c r="B30" s="11" t="str">
        <x:v>ธนาคารฮ่องกงและเซี่ยงไฮ้แบงกิ้งคอร์ปอเรชั่น</x:v>
      </x:c>
      <x:c r="C30" s="11" t="str">
        <x:v>Bank</x:v>
      </x:c>
      <x:c r="D30" s="10" t="n">
        <x:v>0</x:v>
      </x:c>
      <x:c r="E30" s="10" t="n">
        <x:v>0</x:v>
      </x:c>
      <x:c r="F30" s="10" t="n">
        <x:v>0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1" t="str">
        <x:v>https://www.bot.or.th/th/our-roles/payment-systems/payment-act-oversight/business-provider.html</x:v>
      </x:c>
      <x:c r="M30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30" s="3" t="str">
        <x:v>2026-09-25</x:v>
      </x:c>
    </x:row>
    <x:row r="31" ht="46" customHeight="1">
      <x:c r="A31" s="3" t="str">
        <x:v>F024</x:v>
      </x:c>
      <x:c r="B31" s="11" t="str">
        <x:v>ธนาคารเกียรตินาคินภัทร จำกัด (มหาชน)</x:v>
      </x:c>
      <x:c r="C31" s="11" t="str">
        <x:v>Bank</x:v>
      </x:c>
      <x:c r="D31" s="10" t="n">
        <x:v>1</x:v>
      </x:c>
      <x:c r="E31" s="10" t="n">
        <x:v>0</x:v>
      </x:c>
      <x:c r="F31" s="10" t="n">
        <x:v>0</x:v>
      </x:c>
      <x:c r="G31" s="10" t="n">
        <x:v>1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1" t="str">
        <x:v>https://www.bot.or.th/th/our-roles/payment-systems/payment-act-oversight/business-provider.html</x:v>
      </x:c>
      <x:c r="M31" s="11" t="str">
        <x:v>รวมในขอบเขตจำลอง consumer-account review; ไม่อนุมานคุณสมบัติจากใบอนุญาตเพียงอย่างเดียว</x:v>
      </x:c>
      <x:c r="N31" s="3" t="str">
        <x:v>2026-09-25</x:v>
      </x:c>
    </x:row>
    <x:row r="32" ht="46" customHeight="1">
      <x:c r="A32" s="3" t="str">
        <x:v>F025</x:v>
      </x:c>
      <x:c r="B32" s="11" t="str">
        <x:v>ธนาคารเจพีมอร์แกน เชส</x:v>
      </x:c>
      <x:c r="C32" s="11" t="str">
        <x:v>Bank</x:v>
      </x:c>
      <x:c r="D32" s="10" t="n">
        <x:v>0</x:v>
      </x:c>
      <x:c r="E32" s="10" t="n">
        <x:v>0</x:v>
      </x:c>
      <x:c r="F32" s="10" t="n">
        <x:v>0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1" t="str">
        <x:v>https://www.bot.or.th/th/our-roles/payment-systems/payment-act-oversight/business-provider.html</x:v>
      </x:c>
      <x:c r="M32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32" s="3" t="str">
        <x:v>2026-09-25</x:v>
      </x:c>
    </x:row>
    <x:row r="33" ht="46" customHeight="1">
      <x:c r="A33" s="3" t="str">
        <x:v>F026</x:v>
      </x:c>
      <x:c r="B33" s="11" t="str">
        <x:v>ธนาคารเพื่อการส่งออกและนำเข้าแห่งประเทศไทย</x:v>
      </x:c>
      <x:c r="C33" s="11" t="str">
        <x:v>Bank</x:v>
      </x:c>
      <x:c r="D33" s="10" t="n">
        <x:v>0</x:v>
      </x:c>
      <x:c r="E33" s="10" t="n">
        <x:v>0</x:v>
      </x:c>
      <x:c r="F33" s="10" t="n">
        <x:v>0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1" t="str">
        <x:v>https://www.bot.or.th/th/our-roles/payment-systems/payment-act-oversight/business-provider.html</x:v>
      </x:c>
      <x:c r="M33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33" s="3" t="str">
        <x:v>2026-09-25</x:v>
      </x:c>
    </x:row>
    <x:row r="34" ht="46" customHeight="1">
      <x:c r="A34" s="3" t="str">
        <x:v>F027</x:v>
      </x:c>
      <x:c r="B34" s="11" t="str">
        <x:v>ธนาคารเพื่อการเกษตรและสหกรณ์การเกษตร</x:v>
      </x:c>
      <x:c r="C34" s="11" t="str">
        <x:v>Bank</x:v>
      </x:c>
      <x:c r="D34" s="10" t="n">
        <x:v>1</x:v>
      </x:c>
      <x:c r="E34" s="10" t="n">
        <x:v>0</x:v>
      </x:c>
      <x:c r="F34" s="10" t="n">
        <x:v>0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1" t="str">
        <x:v>https://www.bot.or.th/th/our-roles/payment-systems/payment-act-oversight/business-provider.html</x:v>
      </x:c>
      <x:c r="M34" s="11" t="str">
        <x:v>รวมในขอบเขตจำลอง consumer-account review; ไม่อนุมานคุณสมบัติจากใบอนุญาตเพียงอย่างเดียว</x:v>
      </x:c>
      <x:c r="N34" s="3" t="str">
        <x:v>2026-09-25</x:v>
      </x:c>
    </x:row>
    <x:row r="35" ht="46" customHeight="1">
      <x:c r="A35" s="3" t="str">
        <x:v>F028</x:v>
      </x:c>
      <x:c r="B35" s="11" t="str">
        <x:v>ธนาคารเมกะ สากลพาณิชย์ จำกัด (มหาชน)</x:v>
      </x:c>
      <x:c r="C35" s="11" t="str">
        <x:v>Bank</x:v>
      </x:c>
      <x:c r="D35" s="10" t="n">
        <x:v>0</x:v>
      </x:c>
      <x:c r="E35" s="10" t="n">
        <x:v>0</x:v>
      </x:c>
      <x:c r="F35" s="10" t="n">
        <x:v>0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1" t="str">
        <x:v>https://www.bot.or.th/th/our-roles/payment-systems/payment-act-oversight/business-provider.html</x:v>
      </x:c>
      <x:c r="M35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35" s="3" t="str">
        <x:v>2026-09-25</x:v>
      </x:c>
    </x:row>
    <x:row r="36" ht="46" customHeight="1">
      <x:c r="A36" s="3" t="str">
        <x:v>F029</x:v>
      </x:c>
      <x:c r="B36" s="11" t="str">
        <x:v>ธนาคารแลนด์ แอนด์ เฮ้าส์ จำกัด (มหาชน)</x:v>
      </x:c>
      <x:c r="C36" s="11" t="str">
        <x:v>Bank</x:v>
      </x:c>
      <x:c r="D36" s="10" t="n">
        <x:v>1</x:v>
      </x:c>
      <x:c r="E36" s="10" t="n">
        <x:v>0</x:v>
      </x:c>
      <x:c r="F36" s="10" t="n">
        <x:v>0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1" t="str">
        <x:v>https://www.bot.or.th/th/our-roles/payment-systems/payment-act-oversight/business-provider.html</x:v>
      </x:c>
      <x:c r="M36" s="11" t="str">
        <x:v>รวมในขอบเขตจำลอง consumer-account review; ไม่อนุมานคุณสมบัติจากใบอนุญาตเพียงอย่างเดียว</x:v>
      </x:c>
      <x:c r="N36" s="3" t="str">
        <x:v>2026-09-25</x:v>
      </x:c>
    </x:row>
    <x:row r="37" ht="46" customHeight="1">
      <x:c r="A37" s="3" t="str">
        <x:v>F030</x:v>
      </x:c>
      <x:c r="B37" s="11" t="str">
        <x:v>ธนาคารแห่งประเทศจีน (ไทย) จำกัด (มหาชน)</x:v>
      </x:c>
      <x:c r="C37" s="11" t="str">
        <x:v>Bank</x:v>
      </x:c>
      <x:c r="D37" s="10" t="n">
        <x:v>1</x:v>
      </x:c>
      <x:c r="E37" s="10" t="n">
        <x:v>0</x:v>
      </x:c>
      <x:c r="F37" s="10" t="n">
        <x:v>0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1" t="str">
        <x:v>https://www.bot.or.th/th/our-roles/payment-systems/payment-act-oversight/business-provider.html</x:v>
      </x:c>
      <x:c r="M37" s="11" t="str">
        <x:v>รวมในขอบเขตจำลอง consumer-account review; ไม่อนุมานคุณสมบัติจากใบอนุญาตเพียงอย่างเดียว</x:v>
      </x:c>
      <x:c r="N37" s="3" t="str">
        <x:v>2026-09-25</x:v>
      </x:c>
    </x:row>
    <x:row r="38" ht="46" customHeight="1">
      <x:c r="A38" s="3" t="str">
        <x:v>F031</x:v>
      </x:c>
      <x:c r="B38" s="11" t="str">
        <x:v>ธนาคารแห่งอเมริกาเนชั่นแนล แอสโซซิเอชั่น</x:v>
      </x:c>
      <x:c r="C38" s="11" t="str">
        <x:v>Bank</x:v>
      </x:c>
      <x:c r="D38" s="10" t="n">
        <x:v>0</x:v>
      </x:c>
      <x:c r="E38" s="10" t="n">
        <x:v>0</x:v>
      </x:c>
      <x:c r="F38" s="10" t="n">
        <x:v>0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1" t="str">
        <x:v>https://www.bot.or.th/th/our-roles/payment-systems/payment-act-oversight/business-provider.html</x:v>
      </x:c>
      <x:c r="M38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38" s="3" t="str">
        <x:v>2026-09-25</x:v>
      </x:c>
    </x:row>
    <x:row r="39" ht="46" customHeight="1">
      <x:c r="A39" s="3" t="str">
        <x:v>F032</x:v>
      </x:c>
      <x:c r="B39" s="11" t="str">
        <x:v>ธนาคารโอเวอร์ซี-ไชนีสแบงกิ้ง คอร์ปอเรชั่น จำกัด</x:v>
      </x:c>
      <x:c r="C39" s="11" t="str">
        <x:v>Bank</x:v>
      </x:c>
      <x:c r="D39" s="10" t="n">
        <x:v>0</x:v>
      </x:c>
      <x:c r="E39" s="10" t="n">
        <x:v>0</x:v>
      </x:c>
      <x:c r="F39" s="10" t="n">
        <x:v>0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1" t="str">
        <x:v>https://www.bot.or.th/th/our-roles/payment-systems/payment-act-oversight/business-provider.html</x:v>
      </x:c>
      <x:c r="M39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39" s="3" t="str">
        <x:v>2026-09-25</x:v>
      </x:c>
    </x:row>
    <x:row r="40" ht="46" customHeight="1">
      <x:c r="A40" s="3" t="str">
        <x:v>F033</x:v>
      </x:c>
      <x:c r="B40" s="11" t="str">
        <x:v>ธนาคารไทยพาณิชย์ จำกัด (มหาชน)</x:v>
      </x:c>
      <x:c r="C40" s="11" t="str">
        <x:v>Bank</x:v>
      </x:c>
      <x:c r="D40" s="10" t="n">
        <x:v>1</x:v>
      </x:c>
      <x:c r="E40" s="10" t="n">
        <x:v>0</x:v>
      </x:c>
      <x:c r="F40" s="10" t="n">
        <x:v>1</x:v>
      </x:c>
      <x:c r="G40" s="10" t="n">
        <x:v>1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1" t="str">
        <x:v>https://www.bot.or.th/th/our-roles/payment-systems/payment-act-oversight/business-provider.html</x:v>
      </x:c>
      <x:c r="M40" s="11" t="str">
        <x:v>รวมในขอบเขตจำลอง consumer-account review; ไม่อนุมานคุณสมบัติจากใบอนุญาตเพียงอย่างเดียว</x:v>
      </x:c>
      <x:c r="N40" s="3" t="str">
        <x:v>2026-09-25</x:v>
      </x:c>
    </x:row>
    <x:row r="41" ht="46" customHeight="1">
      <x:c r="A41" s="3" t="str">
        <x:v>F034</x:v>
      </x:c>
      <x:c r="B41" s="11" t="str">
        <x:v>ธนาคารไทยเครดิต จำกัด (มหาชน)</x:v>
      </x:c>
      <x:c r="C41" s="11" t="str">
        <x:v>Bank</x:v>
      </x:c>
      <x:c r="D41" s="10" t="n">
        <x:v>1</x:v>
      </x:c>
      <x:c r="E41" s="10" t="n">
        <x:v>0</x:v>
      </x:c>
      <x:c r="F41" s="10" t="n">
        <x:v>0</x:v>
      </x:c>
      <x:c r="G41" s="10" t="n">
        <x:v>1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1" t="str">
        <x:v>https://www.bot.or.th/th/our-roles/payment-systems/payment-act-oversight/business-provider.html</x:v>
      </x:c>
      <x:c r="M41" s="11" t="str">
        <x:v>รวมในขอบเขตจำลอง consumer-account review; ไม่อนุมานคุณสมบัติจากใบอนุญาตเพียงอย่างเดียว</x:v>
      </x:c>
      <x:c r="N41" s="3" t="str">
        <x:v>2026-09-25</x:v>
      </x:c>
    </x:row>
    <x:row r="42" ht="46" customHeight="1">
      <x:c r="A42" s="3" t="str">
        <x:v>F035</x:v>
      </x:c>
      <x:c r="B42" s="11" t="str">
        <x:v>ธนาคารไอซีบีซี (ไทย) จำกัด (มหาชน)</x:v>
      </x:c>
      <x:c r="C42" s="11" t="str">
        <x:v>Bank</x:v>
      </x:c>
      <x:c r="D42" s="10" t="n">
        <x:v>1</x:v>
      </x:c>
      <x:c r="E42" s="10" t="n">
        <x:v>0</x:v>
      </x:c>
      <x:c r="F42" s="10" t="n">
        <x:v>0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1" t="str">
        <x:v>https://www.bot.or.th/th/our-roles/payment-systems/payment-act-oversight/business-provider.html</x:v>
      </x:c>
      <x:c r="M42" s="11" t="str">
        <x:v>รวมในขอบเขตจำลอง consumer-account review; ไม่อนุมานคุณสมบัติจากใบอนุญาตเพียงอย่างเดียว</x:v>
      </x:c>
      <x:c r="N42" s="3" t="str">
        <x:v>2026-09-25</x:v>
      </x:c>
    </x:row>
    <x:row r="43" ht="46" customHeight="1">
      <x:c r="A43" s="3" t="str">
        <x:v>F036</x:v>
      </x:c>
      <x:c r="B43" s="11" t="str">
        <x:v>บริษัท คาเธ่ย์เพย์ (ประเทศไทย) จำกัด</x:v>
      </x:c>
      <x:c r="C43" s="11" t="str">
        <x:v>eMoney</x:v>
      </x:c>
      <x:c r="D43" s="10" t="n">
        <x:v>1</x:v>
      </x:c>
      <x:c r="E43" s="10" t="n">
        <x:v>1</x:v>
      </x:c>
      <x:c r="F43" s="10" t="n">
        <x:v>1</x:v>
      </x:c>
      <x:c r="G43" s="10" t="n">
        <x:v>1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1" t="str">
        <x:v>https://www.bot.or.th/th/our-roles/payment-systems/payment-act-oversight/business-provider.html</x:v>
      </x:c>
      <x:c r="M43" s="11" t="str">
        <x:v>รวมในขอบเขตจำลอง consumer-account review; ไม่อนุมานคุณสมบัติจากใบอนุญาตเพียงอย่างเดียว</x:v>
      </x:c>
      <x:c r="N43" s="3" t="str">
        <x:v>2026-09-25</x:v>
      </x:c>
    </x:row>
    <x:row r="44" ht="46" customHeight="1">
      <x:c r="A44" s="3" t="str">
        <x:v>F037</x:v>
      </x:c>
      <x:c r="B44" s="11" t="str">
        <x:v>บริษัท จีเพย์ เน็ตเวิร์ค (ที) จำกัด</x:v>
      </x:c>
      <x:c r="C44" s="11" t="str">
        <x:v>eMoney</x:v>
      </x:c>
      <x:c r="D44" s="10" t="n">
        <x:v>1</x:v>
      </x:c>
      <x:c r="E44" s="10" t="n">
        <x:v>0</x:v>
      </x:c>
      <x:c r="F44" s="10" t="n">
        <x:v>0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1" t="str">
        <x:v>https://www.bot.or.th/th/our-roles/payment-systems/payment-act-oversight/business-provider.html</x:v>
      </x:c>
      <x:c r="M44" s="11" t="str">
        <x:v>รวมในขอบเขตจำลอง consumer-account review; ไม่อนุมานคุณสมบัติจากใบอนุญาตเพียงอย่างเดียว</x:v>
      </x:c>
      <x:c r="N44" s="3" t="str">
        <x:v>2026-09-25</x:v>
      </x:c>
    </x:row>
    <x:row r="45" ht="46" customHeight="1">
      <x:c r="A45" s="3" t="str">
        <x:v>F038</x:v>
      </x:c>
      <x:c r="B45" s="11" t="str">
        <x:v>บริษัท ช้อปปี้เพย์ (ประเทศไทย) จำกัด</x:v>
      </x:c>
      <x:c r="C45" s="11" t="str">
        <x:v>eMoney</x:v>
      </x:c>
      <x:c r="D45" s="10" t="n">
        <x:v>1</x:v>
      </x:c>
      <x:c r="E45" s="10" t="n">
        <x:v>1</x:v>
      </x:c>
      <x:c r="F45" s="10" t="n">
        <x:v>1</x:v>
      </x:c>
      <x:c r="G45" s="10" t="n">
        <x:v>1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1" t="str">
        <x:v>https://www.bot.or.th/th/our-roles/payment-systems/payment-act-oversight/business-provider.html</x:v>
      </x:c>
      <x:c r="M45" s="11" t="str">
        <x:v>รวมในขอบเขตจำลอง consumer-account review; ไม่อนุมานคุณสมบัติจากใบอนุญาตเพียงอย่างเดียว</x:v>
      </x:c>
      <x:c r="N45" s="3" t="str">
        <x:v>2026-09-25</x:v>
      </x:c>
    </x:row>
    <x:row r="46" ht="46" customHeight="1">
      <x:c r="A46" s="3" t="str">
        <x:v>F039</x:v>
      </x:c>
      <x:c r="B46" s="11" t="str">
        <x:v>บริษัท ซุปเปอร์ริช ดิจิทัล จำกัด</x:v>
      </x:c>
      <x:c r="C46" s="11" t="str">
        <x:v>eMoney</x:v>
      </x:c>
      <x:c r="D46" s="10" t="n">
        <x:v>1</x:v>
      </x:c>
      <x:c r="E46" s="10" t="n">
        <x:v>0</x:v>
      </x:c>
      <x:c r="F46" s="10" t="n">
        <x:v>0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1" t="str">
        <x:v>https://www.bot.or.th/th/our-roles/payment-systems/payment-act-oversight/business-provider.html</x:v>
      </x:c>
      <x:c r="M46" s="11" t="str">
        <x:v>รวมในขอบเขตจำลอง consumer-account review; ไม่อนุมานคุณสมบัติจากใบอนุญาตเพียงอย่างเดียว</x:v>
      </x:c>
      <x:c r="N46" s="3" t="str">
        <x:v>2026-09-25</x:v>
      </x:c>
    </x:row>
    <x:row r="47" ht="46" customHeight="1">
      <x:c r="A47" s="3" t="str">
        <x:v>F040</x:v>
      </x:c>
      <x:c r="B47" s="11" t="str">
        <x:v>บริษัท ดีเทอร์มิน่า จำกัด</x:v>
      </x:c>
      <x:c r="C47" s="11" t="str">
        <x:v>eMoney</x:v>
      </x:c>
      <x:c r="D47" s="10" t="n">
        <x:v>1</x:v>
      </x:c>
      <x:c r="E47" s="10" t="n">
        <x:v>0</x:v>
      </x:c>
      <x:c r="F47" s="10" t="n">
        <x:v>0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1" t="str">
        <x:v>https://www.bot.or.th/th/our-roles/payment-systems/payment-act-oversight/business-provider.html</x:v>
      </x:c>
      <x:c r="M47" s="11" t="str">
        <x:v>รวมในขอบเขตจำลอง consumer-account review; ไม่อนุมานคุณสมบัติจากใบอนุญาตเพียงอย่างเดียว</x:v>
      </x:c>
      <x:c r="N47" s="3" t="str">
        <x:v>2026-09-25</x:v>
      </x:c>
    </x:row>
    <x:row r="48" ht="46" customHeight="1">
      <x:c r="A48" s="3" t="str">
        <x:v>F041</x:v>
      </x:c>
      <x:c r="B48" s="11" t="str">
        <x:v>บริษัท ทรู มันนี่ จำกัด</x:v>
      </x:c>
      <x:c r="C48" s="11" t="str">
        <x:v>eMoney</x:v>
      </x:c>
      <x:c r="D48" s="10" t="n">
        <x:v>1</x:v>
      </x:c>
      <x:c r="E48" s="10" t="n">
        <x:v>1</x:v>
      </x:c>
      <x:c r="F48" s="10" t="n">
        <x:v>1</x:v>
      </x:c>
      <x:c r="G48" s="10" t="n">
        <x:v>1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1" t="str">
        <x:v>https://www.bot.or.th/th/our-roles/payment-systems/payment-act-oversight/business-provider.html</x:v>
      </x:c>
      <x:c r="M48" s="11" t="str">
        <x:v>รวมในขอบเขตจำลอง consumer-account review; ไม่อนุมานคุณสมบัติจากใบอนุญาตเพียงอย่างเดียว</x:v>
      </x:c>
      <x:c r="N48" s="3" t="str">
        <x:v>2026-09-25</x:v>
      </x:c>
    </x:row>
    <x:row r="49" ht="46" customHeight="1">
      <x:c r="A49" s="3" t="str">
        <x:v>F042</x:v>
      </x:c>
      <x:c r="B49" s="11" t="str">
        <x:v>บริษัท ทีทูพี จำกัด</x:v>
      </x:c>
      <x:c r="C49" s="11" t="str">
        <x:v>eMoney</x:v>
      </x:c>
      <x:c r="D49" s="10" t="n">
        <x:v>1</x:v>
      </x:c>
      <x:c r="E49" s="10" t="n">
        <x:v>1</x:v>
      </x:c>
      <x:c r="F49" s="10" t="n">
        <x:v>1</x:v>
      </x:c>
      <x:c r="G49" s="10" t="n">
        <x:v>1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1" t="str">
        <x:v>https://www.bot.or.th/th/our-roles/payment-systems/payment-act-oversight/business-provider.html</x:v>
      </x:c>
      <x:c r="M49" s="11" t="str">
        <x:v>รวมในขอบเขตจำลอง consumer-account review; ไม่อนุมานคุณสมบัติจากใบอนุญาตเพียงอย่างเดียว</x:v>
      </x:c>
      <x:c r="N49" s="3" t="str">
        <x:v>2026-09-25</x:v>
      </x:c>
    </x:row>
    <x:row r="50" ht="46" customHeight="1">
      <x:c r="A50" s="3" t="str">
        <x:v>F043</x:v>
      </x:c>
      <x:c r="B50" s="11" t="str">
        <x:v>บริษัท ทูซีทูพี พลัส (ประเทศไทย) จำกัด</x:v>
      </x:c>
      <x:c r="C50" s="11" t="str">
        <x:v>eMoney</x:v>
      </x:c>
      <x:c r="D50" s="10" t="n">
        <x:v>1</x:v>
      </x:c>
      <x:c r="E50" s="10" t="n">
        <x:v>1</x:v>
      </x:c>
      <x:c r="F50" s="10" t="n">
        <x:v>1</x:v>
      </x:c>
      <x:c r="G50" s="10" t="n">
        <x:v>1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1" t="str">
        <x:v>https://www.bot.or.th/th/our-roles/payment-systems/payment-act-oversight/business-provider.html</x:v>
      </x:c>
      <x:c r="M50" s="11" t="str">
        <x:v>รวมในขอบเขตจำลอง consumer-account review; ไม่อนุมานคุณสมบัติจากใบอนุญาตเพียงอย่างเดียว</x:v>
      </x:c>
      <x:c r="N50" s="3" t="str">
        <x:v>2026-09-25</x:v>
      </x:c>
    </x:row>
    <x:row r="51" ht="46" customHeight="1">
      <x:c r="A51" s="3" t="str">
        <x:v>F044</x:v>
      </x:c>
      <x:c r="B51" s="11" t="str">
        <x:v>บริษัท บลูเพย์ จำกัด</x:v>
      </x:c>
      <x:c r="C51" s="11" t="str">
        <x:v>eMoney</x:v>
      </x:c>
      <x:c r="D51" s="10" t="n">
        <x:v>1</x:v>
      </x:c>
      <x:c r="E51" s="10" t="n">
        <x:v>0</x:v>
      </x:c>
      <x:c r="F51" s="10" t="n">
        <x:v>0</x:v>
      </x:c>
      <x:c r="G51" s="10" t="n">
        <x:v>1</x:v>
      </x:c>
      <x:c r="H51" s="10" t="n">
        <x:v>0</x:v>
      </x:c>
      <x:c r="I51" s="10" t="n">
        <x:v>0</x:v>
      </x:c>
      <x:c r="J51" s="10" t="n">
        <x:v>0</x:v>
      </x:c>
      <x:c r="K51" s="10" t="n">
        <x:v>0</x:v>
      </x:c>
      <x:c r="L51" s="11" t="str">
        <x:v>https://www.bot.or.th/th/our-roles/payment-systems/payment-act-oversight/business-provider.html</x:v>
      </x:c>
      <x:c r="M51" s="11" t="str">
        <x:v>รวมในขอบเขตจำลอง consumer-account review; ไม่อนุมานคุณสมบัติจากใบอนุญาตเพียงอย่างเดียว</x:v>
      </x:c>
      <x:c r="N51" s="3" t="str">
        <x:v>2026-09-25</x:v>
      </x:c>
    </x:row>
    <x:row r="52" ht="46" customHeight="1">
      <x:c r="A52" s="3" t="str">
        <x:v>F045</x:v>
      </x:c>
      <x:c r="B52" s="11" t="str">
        <x:v>บริษัท บางกอก สมาร์ทการ์ด ซิสเทม จำกัด</x:v>
      </x:c>
      <x:c r="C52" s="11" t="str">
        <x:v>eMoney</x:v>
      </x:c>
      <x:c r="D52" s="10" t="n">
        <x:v>0</x:v>
      </x:c>
      <x:c r="E52" s="10" t="n">
        <x:v>0</x:v>
      </x:c>
      <x:c r="F52" s="10" t="n">
        <x:v>0</x:v>
      </x:c>
      <x:c r="G52" s="10" t="n">
        <x:v>0</x:v>
      </x:c>
      <x:c r="H52" s="10" t="n">
        <x:v>0</x:v>
      </x:c>
      <x:c r="I52" s="10" t="n">
        <x:v>0</x:v>
      </x:c>
      <x:c r="J52" s="10" t="n">
        <x:v>0</x:v>
      </x:c>
      <x:c r="K52" s="10" t="n">
        <x:v>0</x:v>
      </x:c>
      <x:c r="L52" s="11" t="str">
        <x:v>https://www.bot.or.th/th/our-roles/payment-systems/payment-act-oversight/business-provider.html</x:v>
      </x:c>
      <x:c r="M52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52" s="3" t="str">
        <x:v>2026-09-25</x:v>
      </x:c>
    </x:row>
    <x:row r="53" ht="46" customHeight="1">
      <x:c r="A53" s="3" t="str">
        <x:v>F046</x:v>
      </x:c>
      <x:c r="B53" s="11" t="str">
        <x:v>บริษัท บิ๊ก เพย์ (ประเทศไทย) จำกัด</x:v>
      </x:c>
      <x:c r="C53" s="11" t="str">
        <x:v>eMoney</x:v>
      </x:c>
      <x:c r="D53" s="10" t="n">
        <x:v>1</x:v>
      </x:c>
      <x:c r="E53" s="10" t="n">
        <x:v>0</x:v>
      </x:c>
      <x:c r="F53" s="10" t="n">
        <x:v>0</x:v>
      </x:c>
      <x:c r="G53" s="10" t="n">
        <x:v>0</x:v>
      </x:c>
      <x:c r="H53" s="10" t="n">
        <x:v>0</x:v>
      </x:c>
      <x:c r="I53" s="10" t="n">
        <x:v>0</x:v>
      </x:c>
      <x:c r="J53" s="10" t="n">
        <x:v>0</x:v>
      </x:c>
      <x:c r="K53" s="10" t="n">
        <x:v>0</x:v>
      </x:c>
      <x:c r="L53" s="11" t="str">
        <x:v>https://www.bot.or.th/th/our-roles/payment-systems/payment-act-oversight/business-provider.html</x:v>
      </x:c>
      <x:c r="M53" s="11" t="str">
        <x:v>รวมในขอบเขตจำลอง consumer-account review; ไม่อนุมานคุณสมบัติจากใบอนุญาตเพียงอย่างเดียว</x:v>
      </x:c>
      <x:c r="N53" s="3" t="str">
        <x:v>2026-09-25</x:v>
      </x:c>
    </x:row>
    <x:row r="54" ht="46" customHeight="1">
      <x:c r="A54" s="3" t="str">
        <x:v>F047</x:v>
      </x:c>
      <x:c r="B54" s="11" t="str">
        <x:v>บริษัท ฟอร์ท สมาร์ท เซอร์วิส จำกัด (มหาชน)</x:v>
      </x:c>
      <x:c r="C54" s="11" t="str">
        <x:v>eMoney</x:v>
      </x:c>
      <x:c r="D54" s="10" t="n">
        <x:v>1</x:v>
      </x:c>
      <x:c r="E54" s="10" t="n">
        <x:v>0</x:v>
      </x:c>
      <x:c r="F54" s="10" t="n">
        <x:v>0</x:v>
      </x:c>
      <x:c r="G54" s="10" t="n">
        <x:v>0</x:v>
      </x:c>
      <x:c r="H54" s="10" t="n">
        <x:v>0</x:v>
      </x:c>
      <x:c r="I54" s="10" t="n">
        <x:v>0</x:v>
      </x:c>
      <x:c r="J54" s="10" t="n">
        <x:v>0</x:v>
      </x:c>
      <x:c r="K54" s="10" t="n">
        <x:v>0</x:v>
      </x:c>
      <x:c r="L54" s="11" t="str">
        <x:v>https://www.bot.or.th/th/our-roles/payment-systems/payment-act-oversight/business-provider.html</x:v>
      </x:c>
      <x:c r="M54" s="11" t="str">
        <x:v>รวมในขอบเขตจำลอง consumer-account review; ไม่อนุมานคุณสมบัติจากใบอนุญาตเพียงอย่างเดียว</x:v>
      </x:c>
      <x:c r="N54" s="3" t="str">
        <x:v>2026-09-25</x:v>
      </x:c>
    </x:row>
    <x:row r="55" ht="46" customHeight="1">
      <x:c r="A55" s="3" t="str">
        <x:v>F048</x:v>
      </x:c>
      <x:c r="B55" s="11" t="str">
        <x:v>บริษัท รีเซิร์ฟเพย์ จำกัด</x:v>
      </x:c>
      <x:c r="C55" s="11" t="str">
        <x:v>eMoney</x:v>
      </x:c>
      <x:c r="D55" s="10" t="n">
        <x:v>1</x:v>
      </x:c>
      <x:c r="E55" s="10" t="n">
        <x:v>1</x:v>
      </x:c>
      <x:c r="F55" s="10" t="n">
        <x:v>1</x:v>
      </x:c>
      <x:c r="G55" s="10" t="n">
        <x:v>1</x:v>
      </x:c>
      <x:c r="H55" s="10" t="n">
        <x:v>0</x:v>
      </x:c>
      <x:c r="I55" s="10" t="n">
        <x:v>0</x:v>
      </x:c>
      <x:c r="J55" s="10" t="n">
        <x:v>0</x:v>
      </x:c>
      <x:c r="K55" s="10" t="n">
        <x:v>0</x:v>
      </x:c>
      <x:c r="L55" s="11" t="str">
        <x:v>https://www.bot.or.th/th/our-roles/payment-systems/payment-act-oversight/business-provider.html</x:v>
      </x:c>
      <x:c r="M55" s="11" t="str">
        <x:v>รวมในขอบเขตจำลอง consumer-account review; ไม่อนุมานคุณสมบัติจากใบอนุญาตเพียงอย่างเดียว</x:v>
      </x:c>
      <x:c r="N55" s="3" t="str">
        <x:v>2026-09-25</x:v>
      </x:c>
    </x:row>
    <x:row r="56" ht="46" customHeight="1">
      <x:c r="A56" s="3" t="str">
        <x:v>F049</x:v>
      </x:c>
      <x:c r="B56" s="11" t="str">
        <x:v>บริษัท สวัสดีช้อป จำกัด</x:v>
      </x:c>
      <x:c r="C56" s="11" t="str">
        <x:v>eMoney</x:v>
      </x:c>
      <x:c r="D56" s="10" t="n">
        <x:v>1</x:v>
      </x:c>
      <x:c r="E56" s="10" t="n">
        <x:v>1</x:v>
      </x:c>
      <x:c r="F56" s="10" t="n">
        <x:v>1</x:v>
      </x:c>
      <x:c r="G56" s="10" t="n">
        <x:v>1</x:v>
      </x:c>
      <x:c r="H56" s="10" t="n">
        <x:v>0</x:v>
      </x:c>
      <x:c r="I56" s="10" t="n">
        <x:v>0</x:v>
      </x:c>
      <x:c r="J56" s="10" t="n">
        <x:v>0</x:v>
      </x:c>
      <x:c r="K56" s="10" t="n">
        <x:v>0</x:v>
      </x:c>
      <x:c r="L56" s="11" t="str">
        <x:v>https://www.bot.or.th/th/our-roles/payment-systems/payment-act-oversight/business-provider.html</x:v>
      </x:c>
      <x:c r="M56" s="11" t="str">
        <x:v>รวมในขอบเขตจำลอง consumer-account review; ไม่อนุมานคุณสมบัติจากใบอนุญาตเพียงอย่างเดียว</x:v>
      </x:c>
      <x:c r="N56" s="3" t="str">
        <x:v>2026-09-25</x:v>
      </x:c>
    </x:row>
    <x:row r="57" ht="46" customHeight="1">
      <x:c r="A57" s="3" t="str">
        <x:v>F050</x:v>
      </x:c>
      <x:c r="B57" s="11" t="str">
        <x:v>บริษัท อินเซปชั่น เทคโนโลยี จำกัด</x:v>
      </x:c>
      <x:c r="C57" s="11" t="str">
        <x:v>eMoney</x:v>
      </x:c>
      <x:c r="D57" s="10" t="n">
        <x:v>1</x:v>
      </x:c>
      <x:c r="E57" s="10" t="n">
        <x:v>0</x:v>
      </x:c>
      <x:c r="F57" s="10" t="n">
        <x:v>0</x:v>
      </x:c>
      <x:c r="G57" s="10" t="n">
        <x:v>0</x:v>
      </x:c>
      <x:c r="H57" s="10" t="n">
        <x:v>0</x:v>
      </x:c>
      <x:c r="I57" s="10" t="n">
        <x:v>0</x:v>
      </x:c>
      <x:c r="J57" s="10" t="n">
        <x:v>0</x:v>
      </x:c>
      <x:c r="K57" s="10" t="n">
        <x:v>0</x:v>
      </x:c>
      <x:c r="L57" s="11" t="str">
        <x:v>https://www.bot.or.th/th/our-roles/payment-systems/payment-act-oversight/business-provider.html</x:v>
      </x:c>
      <x:c r="M57" s="11" t="str">
        <x:v>รวมในขอบเขตจำลอง consumer-account review; ไม่อนุมานคุณสมบัติจากใบอนุญาตเพียงอย่างเดียว</x:v>
      </x:c>
      <x:c r="N57" s="3" t="str">
        <x:v>2026-09-25</x:v>
      </x:c>
    </x:row>
    <x:row r="58" ht="46" customHeight="1">
      <x:c r="A58" s="3" t="str">
        <x:v>F051</x:v>
      </x:c>
      <x:c r="B58" s="11" t="str">
        <x:v>บริษัท เซ็นดิท วอลเล็ท จำกัด</x:v>
      </x:c>
      <x:c r="C58" s="11" t="str">
        <x:v>eMoney</x:v>
      </x:c>
      <x:c r="D58" s="10" t="n">
        <x:v>1</x:v>
      </x:c>
      <x:c r="E58" s="10" t="n">
        <x:v>0</x:v>
      </x:c>
      <x:c r="F58" s="10" t="n">
        <x:v>0</x:v>
      </x:c>
      <x:c r="G58" s="10" t="n">
        <x:v>0</x:v>
      </x:c>
      <x:c r="H58" s="10" t="n">
        <x:v>0</x:v>
      </x:c>
      <x:c r="I58" s="10" t="n">
        <x:v>0</x:v>
      </x:c>
      <x:c r="J58" s="10" t="n">
        <x:v>0</x:v>
      </x:c>
      <x:c r="K58" s="10" t="n">
        <x:v>0</x:v>
      </x:c>
      <x:c r="L58" s="11" t="str">
        <x:v>https://www.bot.or.th/th/our-roles/payment-systems/payment-act-oversight/business-provider.html</x:v>
      </x:c>
      <x:c r="M58" s="11" t="str">
        <x:v>รวมในขอบเขตจำลอง consumer-account review; ไม่อนุมานคุณสมบัติจากใบอนุญาตเพียงอย่างเดียว</x:v>
      </x:c>
      <x:c r="N58" s="3" t="str">
        <x:v>2026-09-25</x:v>
      </x:c>
    </x:row>
    <x:row r="59" ht="46" customHeight="1">
      <x:c r="A59" s="3" t="str">
        <x:v>F052</x:v>
      </x:c>
      <x:c r="B59" s="11" t="str">
        <x:v>บริษัท เซ็นทรัล เพย์เม้นท์ จำกัด</x:v>
      </x:c>
      <x:c r="C59" s="11" t="str">
        <x:v>eMoney</x:v>
      </x:c>
      <x:c r="D59" s="10" t="n">
        <x:v>0</x:v>
      </x:c>
      <x:c r="E59" s="10" t="n">
        <x:v>0</x:v>
      </x:c>
      <x:c r="F59" s="10" t="n">
        <x:v>0</x:v>
      </x:c>
      <x:c r="G59" s="10" t="n">
        <x:v>0</x:v>
      </x:c>
      <x:c r="H59" s="10" t="n">
        <x:v>0</x:v>
      </x:c>
      <x:c r="I59" s="10" t="n">
        <x:v>0</x:v>
      </x:c>
      <x:c r="J59" s="10" t="n">
        <x:v>0</x:v>
      </x:c>
      <x:c r="K59" s="10" t="n">
        <x:v>0</x:v>
      </x:c>
      <x:c r="L59" s="11" t="str">
        <x:v>https://www.bot.or.th/th/our-roles/payment-systems/payment-act-oversight/business-provider.html</x:v>
      </x:c>
      <x:c r="M59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59" s="3" t="str">
        <x:v>2026-09-25</x:v>
      </x:c>
    </x:row>
    <x:row r="60" ht="46" customHeight="1">
      <x:c r="A60" s="3" t="str">
        <x:v>F053</x:v>
      </x:c>
      <x:c r="B60" s="11" t="str">
        <x:v>บริษัท เพย์พาล (ประเทศไทย) จำกัด</x:v>
      </x:c>
      <x:c r="C60" s="11" t="str">
        <x:v>eMoney</x:v>
      </x:c>
      <x:c r="D60" s="10" t="n">
        <x:v>1</x:v>
      </x:c>
      <x:c r="E60" s="10" t="n">
        <x:v>0</x:v>
      </x:c>
      <x:c r="F60" s="10" t="n">
        <x:v>0</x:v>
      </x:c>
      <x:c r="G60" s="10" t="n">
        <x:v>0</x:v>
      </x:c>
      <x:c r="H60" s="10" t="n">
        <x:v>0</x:v>
      </x:c>
      <x:c r="I60" s="10" t="n">
        <x:v>0</x:v>
      </x:c>
      <x:c r="J60" s="10" t="n">
        <x:v>0</x:v>
      </x:c>
      <x:c r="K60" s="10" t="n">
        <x:v>0</x:v>
      </x:c>
      <x:c r="L60" s="11" t="str">
        <x:v>https://www.bot.or.th/th/our-roles/payment-systems/payment-act-oversight/business-provider.html</x:v>
      </x:c>
      <x:c r="M60" s="11" t="str">
        <x:v>รวมในขอบเขตจำลอง consumer-account review; ไม่อนุมานคุณสมบัติจากใบอนุญาตเพียงอย่างเดียว</x:v>
      </x:c>
      <x:c r="N60" s="3" t="str">
        <x:v>2026-09-25</x:v>
      </x:c>
    </x:row>
    <x:row r="61" ht="46" customHeight="1">
      <x:c r="A61" s="3" t="str">
        <x:v>F054</x:v>
      </x:c>
      <x:c r="B61" s="11" t="str">
        <x:v>บริษัท เหลียนเหลียน เพย์ อิเล็คทรอนิค เพย์เม้นท์ (ประเทศไทย) จำกัด</x:v>
      </x:c>
      <x:c r="C61" s="11" t="str">
        <x:v>eMoney</x:v>
      </x:c>
      <x:c r="D61" s="10" t="n">
        <x:v>1</x:v>
      </x:c>
      <x:c r="E61" s="10" t="n">
        <x:v>0</x:v>
      </x:c>
      <x:c r="F61" s="10" t="n">
        <x:v>0</x:v>
      </x:c>
      <x:c r="G61" s="10" t="n">
        <x:v>0</x:v>
      </x:c>
      <x:c r="H61" s="10" t="n">
        <x:v>0</x:v>
      </x:c>
      <x:c r="I61" s="10" t="n">
        <x:v>0</x:v>
      </x:c>
      <x:c r="J61" s="10" t="n">
        <x:v>0</x:v>
      </x:c>
      <x:c r="K61" s="10" t="n">
        <x:v>0</x:v>
      </x:c>
      <x:c r="L61" s="11" t="str">
        <x:v>https://www.bot.or.th/th/our-roles/payment-systems/payment-act-oversight/business-provider.html</x:v>
      </x:c>
      <x:c r="M61" s="11" t="str">
        <x:v>รวมในขอบเขตจำลอง consumer-account review; ไม่อนุมานคุณสมบัติจากใบอนุญาตเพียงอย่างเดียว</x:v>
      </x:c>
      <x:c r="N61" s="3" t="str">
        <x:v>2026-09-25</x:v>
      </x:c>
    </x:row>
    <x:row r="62" ht="46" customHeight="1">
      <x:c r="A62" s="3" t="str">
        <x:v>F055</x:v>
      </x:c>
      <x:c r="B62" s="11" t="str">
        <x:v>บริษัท เอซียู เพย์ (ไทยแลนด์) จำกัด</x:v>
      </x:c>
      <x:c r="C62" s="11" t="str">
        <x:v>eMoney</x:v>
      </x:c>
      <x:c r="D62" s="10" t="n">
        <x:v>1</x:v>
      </x:c>
      <x:c r="E62" s="10" t="n">
        <x:v>0</x:v>
      </x:c>
      <x:c r="F62" s="10" t="n">
        <x:v>0</x:v>
      </x:c>
      <x:c r="G62" s="10" t="n">
        <x:v>0</x:v>
      </x:c>
      <x:c r="H62" s="10" t="n">
        <x:v>0</x:v>
      </x:c>
      <x:c r="I62" s="10" t="n">
        <x:v>0</x:v>
      </x:c>
      <x:c r="J62" s="10" t="n">
        <x:v>0</x:v>
      </x:c>
      <x:c r="K62" s="10" t="n">
        <x:v>0</x:v>
      </x:c>
      <x:c r="L62" s="11" t="str">
        <x:v>https://www.bot.or.th/th/our-roles/payment-systems/payment-act-oversight/business-provider.html</x:v>
      </x:c>
      <x:c r="M62" s="11" t="str">
        <x:v>รวมในขอบเขตจำลอง consumer-account review; ไม่อนุมานคุณสมบัติจากใบอนุญาตเพียงอย่างเดียว</x:v>
      </x:c>
      <x:c r="N62" s="3" t="str">
        <x:v>2026-09-25</x:v>
      </x:c>
    </x:row>
    <x:row r="63" ht="46" customHeight="1">
      <x:c r="A63" s="3" t="str">
        <x:v>F056</x:v>
      </x:c>
      <x:c r="B63" s="11" t="str">
        <x:v>บริษัท เอ็มโอแอล เพย์เมนท์ จำกัด</x:v>
      </x:c>
      <x:c r="C63" s="11" t="str">
        <x:v>eMoney</x:v>
      </x:c>
      <x:c r="D63" s="10" t="n">
        <x:v>1</x:v>
      </x:c>
      <x:c r="E63" s="10" t="n">
        <x:v>1</x:v>
      </x:c>
      <x:c r="F63" s="10" t="n">
        <x:v>1</x:v>
      </x:c>
      <x:c r="G63" s="10" t="n">
        <x:v>1</x:v>
      </x:c>
      <x:c r="H63" s="10" t="n">
        <x:v>0</x:v>
      </x:c>
      <x:c r="I63" s="10" t="n">
        <x:v>0</x:v>
      </x:c>
      <x:c r="J63" s="10" t="n">
        <x:v>0</x:v>
      </x:c>
      <x:c r="K63" s="10" t="n">
        <x:v>0</x:v>
      </x:c>
      <x:c r="L63" s="11" t="str">
        <x:v>https://www.bot.or.th/th/our-roles/payment-systems/payment-act-oversight/business-provider.html</x:v>
      </x:c>
      <x:c r="M63" s="11" t="str">
        <x:v>รวมในขอบเขตจำลอง consumer-account review; ไม่อนุมานคุณสมบัติจากใบอนุญาตเพียงอย่างเดียว</x:v>
      </x:c>
      <x:c r="N63" s="3" t="str">
        <x:v>2026-09-25</x:v>
      </x:c>
    </x:row>
    <x:row r="64" ht="46" customHeight="1">
      <x:c r="A64" s="3" t="str">
        <x:v>F057</x:v>
      </x:c>
      <x:c r="B64" s="11" t="str">
        <x:v>บริษัท เฮลโลเพย์ จำกัด</x:v>
      </x:c>
      <x:c r="C64" s="11" t="str">
        <x:v>eMoney</x:v>
      </x:c>
      <x:c r="D64" s="10" t="n">
        <x:v>1</x:v>
      </x:c>
      <x:c r="E64" s="10" t="n">
        <x:v>0</x:v>
      </x:c>
      <x:c r="F64" s="10" t="n">
        <x:v>0</x:v>
      </x:c>
      <x:c r="G64" s="10" t="n">
        <x:v>0</x:v>
      </x:c>
      <x:c r="H64" s="10" t="n">
        <x:v>0</x:v>
      </x:c>
      <x:c r="I64" s="10" t="n">
        <x:v>0</x:v>
      </x:c>
      <x:c r="J64" s="10" t="n">
        <x:v>0</x:v>
      </x:c>
      <x:c r="K64" s="10" t="n">
        <x:v>0</x:v>
      </x:c>
      <x:c r="L64" s="11" t="str">
        <x:v>https://www.bot.or.th/th/our-roles/payment-systems/payment-act-oversight/business-provider.html</x:v>
      </x:c>
      <x:c r="M64" s="11" t="str">
        <x:v>รวมในขอบเขตจำลอง consumer-account review; ไม่อนุมานคุณสมบัติจากใบอนุญาตเพียงอย่างเดียว</x:v>
      </x:c>
      <x:c r="N64" s="3" t="str">
        <x:v>2026-09-25</x:v>
      </x:c>
    </x:row>
    <x:row r="65" ht="46" customHeight="1">
      <x:c r="A65" s="3" t="str">
        <x:v>F058</x:v>
      </x:c>
      <x:c r="B65" s="11" t="str">
        <x:v>บริษัท แฟลช เพย์ จำกัด</x:v>
      </x:c>
      <x:c r="C65" s="11" t="str">
        <x:v>eMoney</x:v>
      </x:c>
      <x:c r="D65" s="10" t="n">
        <x:v>1</x:v>
      </x:c>
      <x:c r="E65" s="10" t="n">
        <x:v>1</x:v>
      </x:c>
      <x:c r="F65" s="10" t="n">
        <x:v>1</x:v>
      </x:c>
      <x:c r="G65" s="10" t="n">
        <x:v>1</x:v>
      </x:c>
      <x:c r="H65" s="10" t="n">
        <x:v>0</x:v>
      </x:c>
      <x:c r="I65" s="10" t="n">
        <x:v>0</x:v>
      </x:c>
      <x:c r="J65" s="10" t="n">
        <x:v>0</x:v>
      </x:c>
      <x:c r="K65" s="10" t="n">
        <x:v>0</x:v>
      </x:c>
      <x:c r="L65" s="11" t="str">
        <x:v>https://www.bot.or.th/th/our-roles/payment-systems/payment-act-oversight/business-provider.html</x:v>
      </x:c>
      <x:c r="M65" s="11" t="str">
        <x:v>รวมในขอบเขตจำลอง consumer-account review; ไม่อนุมานคุณสมบัติจากใบอนุญาตเพียงอย่างเดียว</x:v>
      </x:c>
      <x:c r="N65" s="3" t="str">
        <x:v>2026-09-25</x:v>
      </x:c>
    </x:row>
    <x:row r="66" ht="46" customHeight="1">
      <x:c r="A66" s="3" t="str">
        <x:v>F059</x:v>
      </x:c>
      <x:c r="B66" s="11" t="str">
        <x:v>บริษัท แมกซ์ การ์ด จำกัด</x:v>
      </x:c>
      <x:c r="C66" s="11" t="str">
        <x:v>eMoney</x:v>
      </x:c>
      <x:c r="D66" s="10" t="n">
        <x:v>0</x:v>
      </x:c>
      <x:c r="E66" s="10" t="n">
        <x:v>0</x:v>
      </x:c>
      <x:c r="F66" s="10" t="n">
        <x:v>0</x:v>
      </x:c>
      <x:c r="G66" s="10" t="n">
        <x:v>0</x:v>
      </x:c>
      <x:c r="H66" s="10" t="n">
        <x:v>0</x:v>
      </x:c>
      <x:c r="I66" s="10" t="n">
        <x:v>0</x:v>
      </x:c>
      <x:c r="J66" s="10" t="n">
        <x:v>0</x:v>
      </x:c>
      <x:c r="K66" s="10" t="n">
        <x:v>0</x:v>
      </x:c>
      <x:c r="L66" s="11" t="str">
        <x:v>https://www.bot.or.th/th/our-roles/payment-systems/payment-act-oversight/business-provider.html</x:v>
      </x:c>
      <x:c r="M66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66" s="3" t="str">
        <x:v>2026-09-25</x:v>
      </x:c>
    </x:row>
    <x:row r="67" ht="46" customHeight="1">
      <x:c r="A67" s="3" t="str">
        <x:v>F060</x:v>
      </x:c>
      <x:c r="B67" s="11" t="str">
        <x:v>บริษัท แอดวานซ์ เอ็มเปย์ จำกัด</x:v>
      </x:c>
      <x:c r="C67" s="11" t="str">
        <x:v>eMoney</x:v>
      </x:c>
      <x:c r="D67" s="10" t="n">
        <x:v>1</x:v>
      </x:c>
      <x:c r="E67" s="10" t="n">
        <x:v>1</x:v>
      </x:c>
      <x:c r="F67" s="10" t="n">
        <x:v>1</x:v>
      </x:c>
      <x:c r="G67" s="10" t="n">
        <x:v>1</x:v>
      </x:c>
      <x:c r="H67" s="10" t="n">
        <x:v>0</x:v>
      </x:c>
      <x:c r="I67" s="10" t="n">
        <x:v>0</x:v>
      </x:c>
      <x:c r="J67" s="10" t="n">
        <x:v>0</x:v>
      </x:c>
      <x:c r="K67" s="10" t="n">
        <x:v>0</x:v>
      </x:c>
      <x:c r="L67" s="11" t="str">
        <x:v>https://www.bot.or.th/th/our-roles/payment-systems/payment-act-oversight/business-provider.html</x:v>
      </x:c>
      <x:c r="M67" s="11" t="str">
        <x:v>รวมในขอบเขตจำลอง consumer-account review; ไม่อนุมานคุณสมบัติจากใบอนุญาตเพียงอย่างเดียว</x:v>
      </x:c>
      <x:c r="N67" s="3" t="str">
        <x:v>2026-09-25</x:v>
      </x:c>
    </x:row>
    <x:row r="68" ht="46" customHeight="1">
      <x:c r="A68" s="3" t="str">
        <x:v>F061</x:v>
      </x:c>
      <x:c r="B68" s="11" t="str">
        <x:v>บริษัท โอมิเซะ จำกัด</x:v>
      </x:c>
      <x:c r="C68" s="11" t="str">
        <x:v>eMoney</x:v>
      </x:c>
      <x:c r="D68" s="10" t="n">
        <x:v>1</x:v>
      </x:c>
      <x:c r="E68" s="10" t="n">
        <x:v>1</x:v>
      </x:c>
      <x:c r="F68" s="10" t="n">
        <x:v>1</x:v>
      </x:c>
      <x:c r="G68" s="10" t="n">
        <x:v>1</x:v>
      </x:c>
      <x:c r="H68" s="10" t="n">
        <x:v>0</x:v>
      </x:c>
      <x:c r="I68" s="10" t="n">
        <x:v>0</x:v>
      </x:c>
      <x:c r="J68" s="10" t="n">
        <x:v>0</x:v>
      </x:c>
      <x:c r="K68" s="10" t="n">
        <x:v>0</x:v>
      </x:c>
      <x:c r="L68" s="11" t="str">
        <x:v>https://www.bot.or.th/th/our-roles/payment-systems/payment-act-oversight/business-provider.html</x:v>
      </x:c>
      <x:c r="M68" s="11" t="str">
        <x:v>รวมในขอบเขตจำลอง consumer-account review; ไม่อนุมานคุณสมบัติจากใบอนุญาตเพียงอย่างเดียว</x:v>
      </x:c>
      <x:c r="N68" s="3" t="str">
        <x:v>2026-09-25</x:v>
      </x:c>
    </x:row>
    <x:row r="69" ht="46" customHeight="1">
      <x:c r="A69" s="3" t="str">
        <x:v>F062</x:v>
      </x:c>
      <x:c r="B69" s="11" t="str">
        <x:v>บริษัท ไทยสมาร์ทคาร์ด จำกัด</x:v>
      </x:c>
      <x:c r="C69" s="11" t="str">
        <x:v>eMoney</x:v>
      </x:c>
      <x:c r="D69" s="10" t="n">
        <x:v>0</x:v>
      </x:c>
      <x:c r="E69" s="10" t="n">
        <x:v>0</x:v>
      </x:c>
      <x:c r="F69" s="10" t="n">
        <x:v>0</x:v>
      </x:c>
      <x:c r="G69" s="10" t="n">
        <x:v>0</x:v>
      </x:c>
      <x:c r="H69" s="10" t="n">
        <x:v>0</x:v>
      </x:c>
      <x:c r="I69" s="10" t="n">
        <x:v>0</x:v>
      </x:c>
      <x:c r="J69" s="10" t="n">
        <x:v>0</x:v>
      </x:c>
      <x:c r="K69" s="10" t="n">
        <x:v>0</x:v>
      </x:c>
      <x:c r="L69" s="11" t="str">
        <x:v>https://www.bot.or.th/th/our-roles/payment-systems/payment-act-oversight/business-provider.html</x:v>
      </x:c>
      <x:c r="M69" s="11" t="str">
        <x:v>ยังไม่รวมในขอบเขตเริ่มต้น ต้องตรวจ use case ก่อน; ไม่อนุมานคุณสมบัติจากใบอนุญาตเพียงอย่างเดียว</x:v>
      </x:c>
      <x:c r="N69" s="3" t="str">
        <x:v>2026-09-25</x:v>
      </x:c>
    </x:row>
    <x:row r="70" ht="46" customHeight="1">
      <x:c r="A70" s="3" t="str">
        <x:v>F063</x:v>
      </x:c>
      <x:c r="B70" s="11" t="str">
        <x:v>บริษัท ไทยไมโคร ดิจิทัล โซลูชั่นส์ จำกัด</x:v>
      </x:c>
      <x:c r="C70" s="11" t="str">
        <x:v>eMoney</x:v>
      </x:c>
      <x:c r="D70" s="10" t="n">
        <x:v>1</x:v>
      </x:c>
      <x:c r="E70" s="10" t="n">
        <x:v>0</x:v>
      </x:c>
      <x:c r="F70" s="10" t="n">
        <x:v>0</x:v>
      </x:c>
      <x:c r="G70" s="10" t="n">
        <x:v>0</x:v>
      </x:c>
      <x:c r="H70" s="10" t="n">
        <x:v>0</x:v>
      </x:c>
      <x:c r="I70" s="10" t="n">
        <x:v>0</x:v>
      </x:c>
      <x:c r="J70" s="10" t="n">
        <x:v>0</x:v>
      </x:c>
      <x:c r="K70" s="10" t="n">
        <x:v>0</x:v>
      </x:c>
      <x:c r="L70" s="11" t="str">
        <x:v>https://www.bot.or.th/th/our-roles/payment-systems/payment-act-oversight/business-provider.html</x:v>
      </x:c>
      <x:c r="M70" s="11" t="str">
        <x:v>รวมในขอบเขตจำลอง consumer-account review; ไม่อนุมานคุณสมบัติจากใบอนุญาตเพียงอย่างเดียว</x:v>
      </x:c>
      <x:c r="N70" s="3" t="str">
        <x:v>2026-09-25</x:v>
      </x:c>
    </x:row>
    <x:row r="71" ht="46" customHeight="1">
      <x:c r="A71" s="3" t="str">
        <x:v>F064</x:v>
      </x:c>
      <x:c r="B71" s="11" t="str">
        <x:v>บริษัท ไปโป้ (ทีเอช) จำกัด</x:v>
      </x:c>
      <x:c r="C71" s="11" t="str">
        <x:v>eMoney</x:v>
      </x:c>
      <x:c r="D71" s="10" t="n">
        <x:v>1</x:v>
      </x:c>
      <x:c r="E71" s="10" t="n">
        <x:v>0</x:v>
      </x:c>
      <x:c r="F71" s="10" t="n">
        <x:v>0</x:v>
      </x:c>
      <x:c r="G71" s="10" t="n">
        <x:v>0</x:v>
      </x:c>
      <x:c r="H71" s="10" t="n">
        <x:v>0</x:v>
      </x:c>
      <x:c r="I71" s="10" t="n">
        <x:v>0</x:v>
      </x:c>
      <x:c r="J71" s="10" t="n">
        <x:v>0</x:v>
      </x:c>
      <x:c r="K71" s="10" t="n">
        <x:v>0</x:v>
      </x:c>
      <x:c r="L71" s="11" t="str">
        <x:v>https://www.bot.or.th/th/our-roles/payment-systems/payment-act-oversight/business-provider.html</x:v>
      </x:c>
      <x:c r="M71" s="11" t="str">
        <x:v>รวมในขอบเขตจำลอง consumer-account review; ไม่อนุมานคุณสมบัติจากใบอนุญาตเพียงอย่างเดียว</x:v>
      </x:c>
      <x:c r="N71" s="3" t="str">
        <x:v>2026-09-25</x:v>
      </x:c>
    </x:row>
    <x:row r="72" ht="46" customHeight="1">
      <x:c r="A72" s="3" t="str">
        <x:v>F065</x:v>
      </x:c>
      <x:c r="B72" s="11" t="str">
        <x:v>บริษัท ไลน์ เพย์ (ประเทศไทย) จำกัด</x:v>
      </x:c>
      <x:c r="C72" s="11" t="str">
        <x:v>eMoney</x:v>
      </x:c>
      <x:c r="D72" s="10" t="n">
        <x:v>1</x:v>
      </x:c>
      <x:c r="E72" s="10" t="n">
        <x:v>1</x:v>
      </x:c>
      <x:c r="F72" s="10" t="n">
        <x:v>1</x:v>
      </x:c>
      <x:c r="G72" s="10" t="n">
        <x:v>1</x:v>
      </x:c>
      <x:c r="H72" s="10" t="n">
        <x:v>0</x:v>
      </x:c>
      <x:c r="I72" s="10" t="n">
        <x:v>0</x:v>
      </x:c>
      <x:c r="J72" s="10" t="n">
        <x:v>0</x:v>
      </x:c>
      <x:c r="K72" s="10" t="n">
        <x:v>0</x:v>
      </x:c>
      <x:c r="L72" s="11" t="str">
        <x:v>https://www.bot.or.th/th/our-roles/payment-systems/payment-act-oversight/business-provider.html</x:v>
      </x:c>
      <x:c r="M72" s="11" t="str">
        <x:v>รวมในขอบเขตจำลอง consumer-account review; ไม่อนุมานคุณสมบัติจากใบอนุญาตเพียงอย่างเดียว</x:v>
      </x:c>
      <x:c r="N72" s="3" t="str">
        <x:v>2026-09-25</x:v>
      </x:c>
    </x:row>
    <x:row r="73" ht="46" customHeight="1">
      <x:c r="A73" s="3" t="str">
        <x:v>F066</x:v>
      </x:c>
      <x:c r="B73" s="11" t="str">
        <x:v>บริษัท ไวส์ เพย์เม้นส์ (ประเทศไทย) จำกัด</x:v>
      </x:c>
      <x:c r="C73" s="11" t="str">
        <x:v>eMoney</x:v>
      </x:c>
      <x:c r="D73" s="10" t="n">
        <x:v>1</x:v>
      </x:c>
      <x:c r="E73" s="10" t="n">
        <x:v>0</x:v>
      </x:c>
      <x:c r="F73" s="10" t="n">
        <x:v>0</x:v>
      </x:c>
      <x:c r="G73" s="10" t="n">
        <x:v>0</x:v>
      </x:c>
      <x:c r="H73" s="10" t="n">
        <x:v>0</x:v>
      </x:c>
      <x:c r="I73" s="10" t="n">
        <x:v>0</x:v>
      </x:c>
      <x:c r="J73" s="10" t="n">
        <x:v>0</x:v>
      </x:c>
      <x:c r="K73" s="10" t="n">
        <x:v>0</x:v>
      </x:c>
      <x:c r="L73" s="11" t="str">
        <x:v>https://www.bot.or.th/th/our-roles/payment-systems/payment-act-oversight/business-provider.html</x:v>
      </x:c>
      <x:c r="M73" s="11" t="str">
        <x:v>รวมในขอบเขตจำลอง consumer-account review; ไม่อนุมานคุณสมบัติจากใบอนุญาตเพียงอย่างเดียว</x:v>
      </x:c>
      <x:c r="N73" s="3" t="str">
        <x:v>2026-09-25</x:v>
      </x:c>
    </x:row>
    <x:row r="74" ht="46" customHeight="1">
      <x:c r="A74" s="3" t="str">
        <x:v>F067</x:v>
      </x:c>
      <x:c r="B74" s="11" t="str">
        <x:v>บริษัท ไวเพย์ จำกัด</x:v>
      </x:c>
      <x:c r="C74" s="11" t="str">
        <x:v>eMoney</x:v>
      </x:c>
      <x:c r="D74" s="10" t="n">
        <x:v>1</x:v>
      </x:c>
      <x:c r="E74" s="10" t="n">
        <x:v>0</x:v>
      </x:c>
      <x:c r="F74" s="10" t="n">
        <x:v>0</x:v>
      </x:c>
      <x:c r="G74" s="10" t="n">
        <x:v>0</x:v>
      </x:c>
      <x:c r="H74" s="10" t="n">
        <x:v>0</x:v>
      </x:c>
      <x:c r="I74" s="10" t="n">
        <x:v>0</x:v>
      </x:c>
      <x:c r="J74" s="10" t="n">
        <x:v>0</x:v>
      </x:c>
      <x:c r="K74" s="10" t="n">
        <x:v>0</x:v>
      </x:c>
      <x:c r="L74" s="11" t="str">
        <x:v>https://www.bot.or.th/th/our-roles/payment-systems/payment-act-oversight/business-provider.html</x:v>
      </x:c>
      <x:c r="M74" s="11" t="str">
        <x:v>รวมในขอบเขตจำลอง consumer-account review; ไม่อนุมานคุณสมบัติจากใบอนุญาตเพียงอย่างเดียว</x:v>
      </x:c>
      <x:c r="N74" s="3" t="str">
        <x:v>2026-09-25</x:v>
      </x:c>
    </x:row>
    <x:row r="75" ht="46" customHeight="1">
      <x:c r="A75" s="3" t="str">
        <x:v>F068</x:v>
      </x:c>
      <x:c r="B75" s="11" t="str">
        <x:v>บริษัท ไอพี เพย์เมนท์ โซลูชั่น จำกัด</x:v>
      </x:c>
      <x:c r="C75" s="11" t="str">
        <x:v>eMoney</x:v>
      </x:c>
      <x:c r="D75" s="10" t="n">
        <x:v>1</x:v>
      </x:c>
      <x:c r="E75" s="10" t="n">
        <x:v>0</x:v>
      </x:c>
      <x:c r="F75" s="10" t="n">
        <x:v>0</x:v>
      </x:c>
      <x:c r="G75" s="10" t="n">
        <x:v>0</x:v>
      </x:c>
      <x:c r="H75" s="10" t="n">
        <x:v>0</x:v>
      </x:c>
      <x:c r="I75" s="10" t="n">
        <x:v>0</x:v>
      </x:c>
      <x:c r="J75" s="10" t="n">
        <x:v>0</x:v>
      </x:c>
      <x:c r="K75" s="10" t="n">
        <x:v>0</x:v>
      </x:c>
      <x:c r="L75" s="11" t="str">
        <x:v>https://www.bot.or.th/th/our-roles/payment-systems/payment-act-oversight/business-provider.html</x:v>
      </x:c>
      <x:c r="M75" s="11" t="str">
        <x:v>รวมในขอบเขตจำลอง consumer-account review; ไม่อนุมานคุณสมบัติจากใบอนุญาตเพียงอย่างเดียว</x:v>
      </x:c>
      <x:c r="N75" s="3" t="str">
        <x:v>2026-09-25</x:v>
      </x:c>
    </x:row>
    <x:row r="76" ht="46" customHeight="1">
      <x:c r="A76" s="3" t="str">
        <x:v>P01</x:v>
      </x:c>
      <x:c r="B76" s="11" t="str">
        <x:v>SEEK Group / Jobsdb TH</x:v>
      </x:c>
      <x:c r="C76" s="11" t="str">
        <x:v>Job / gig platform group</x:v>
      </x:c>
      <x:c r="D76" s="10" t="n">
        <x:v>0</x:v>
      </x:c>
      <x:c r="E76" s="10" t="n">
        <x:v>0</x:v>
      </x:c>
      <x:c r="F76" s="10" t="n">
        <x:v>0</x:v>
      </x:c>
      <x:c r="G76" s="10" t="n">
        <x:v>0</x:v>
      </x:c>
      <x:c r="H76" s="10" t="n">
        <x:v>1</x:v>
      </x:c>
      <x:c r="I76" s="10" t="n">
        <x:v>0</x:v>
      </x:c>
      <x:c r="J76" s="10" t="n">
        <x:v>0</x:v>
      </x:c>
      <x:c r="K76" s="10" t="n">
        <x:v>0</x:v>
      </x:c>
      <x:c r="L76" s="11" t="str">
        <x:v>https://developer.seek.com/introduction</x:v>
      </x:c>
      <x:c r="M76" s="11" t="str">
        <x:v>กลุ่มเดียวกับ Jobstreet; มี SIFT อยู่แล้ว</x:v>
      </x:c>
      <x:c r="N76" s="3" t="str">
        <x:v>2026-09-25</x:v>
      </x:c>
    </x:row>
    <x:row r="77" ht="46" customHeight="1">
      <x:c r="A77" s="3" t="str">
        <x:v>P02</x:v>
      </x:c>
      <x:c r="B77" s="11" t="str">
        <x:v>THiNKNET / JobThai</x:v>
      </x:c>
      <x:c r="C77" s="11" t="str">
        <x:v>Job / gig platform group</x:v>
      </x:c>
      <x:c r="D77" s="10" t="n">
        <x:v>0</x:v>
      </x:c>
      <x:c r="E77" s="10" t="n">
        <x:v>0</x:v>
      </x:c>
      <x:c r="F77" s="10" t="n">
        <x:v>0</x:v>
      </x:c>
      <x:c r="G77" s="10" t="n">
        <x:v>0</x:v>
      </x:c>
      <x:c r="H77" s="10" t="n">
        <x:v>1</x:v>
      </x:c>
      <x:c r="I77" s="10" t="n">
        <x:v>1</x:v>
      </x:c>
      <x:c r="J77" s="10" t="n">
        <x:v>1</x:v>
      </x:c>
      <x:c r="K77" s="10" t="n">
        <x:v>1</x:v>
      </x:c>
      <x:c r="L77" s="11" t="str">
        <x:v>https://www.jobthai.com/static/file/rate-card-th-11-11-68.pdf</x:v>
      </x:c>
      <x:c r="M77" s="11" t="str">
        <x:v>ผู้ให้บริการประกาศงาน; ยังไม่ยืนยันปริมาณ abuse</x:v>
      </x:c>
      <x:c r="N77" s="3" t="str">
        <x:v>2026-09-25</x:v>
      </x:c>
    </x:row>
    <x:row r="78" ht="46" customHeight="1">
      <x:c r="A78" s="3" t="str">
        <x:v>P03</x:v>
      </x:c>
      <x:c r="B78" s="11" t="str">
        <x:v>JOBBKK</x:v>
      </x:c>
      <x:c r="C78" s="11" t="str">
        <x:v>Job / gig platform group</x:v>
      </x:c>
      <x:c r="D78" s="10" t="n">
        <x:v>0</x:v>
      </x:c>
      <x:c r="E78" s="10" t="n">
        <x:v>0</x:v>
      </x:c>
      <x:c r="F78" s="10" t="n">
        <x:v>0</x:v>
      </x:c>
      <x:c r="G78" s="10" t="n">
        <x:v>0</x:v>
      </x:c>
      <x:c r="H78" s="10" t="n">
        <x:v>1</x:v>
      </x:c>
      <x:c r="I78" s="10" t="n">
        <x:v>1</x:v>
      </x:c>
      <x:c r="J78" s="10" t="n">
        <x:v>1</x:v>
      </x:c>
      <x:c r="K78" s="10" t="n">
        <x:v>1</x:v>
      </x:c>
      <x:c r="L78" s="11" t="str">
        <x:v>https://www.jobbkk.com/</x:v>
      </x:c>
      <x:c r="M78" s="11" t="str">
        <x:v>ผู้ให้บริการประกาศงาน; ยังไม่ยืนยันปริมาณ abuse</x:v>
      </x:c>
      <x:c r="N78" s="3" t="str">
        <x:v>2026-09-25</x:v>
      </x:c>
    </x:row>
    <x:row r="79" ht="46" customHeight="1">
      <x:c r="A79" s="3" t="str">
        <x:v>P04</x:v>
      </x:c>
      <x:c r="B79" s="11" t="str">
        <x:v>TOPGUN / JOBTOPGUN</x:v>
      </x:c>
      <x:c r="C79" s="11" t="str">
        <x:v>Job / gig platform group</x:v>
      </x:c>
      <x:c r="D79" s="10" t="n">
        <x:v>0</x:v>
      </x:c>
      <x:c r="E79" s="10" t="n">
        <x:v>0</x:v>
      </x:c>
      <x:c r="F79" s="10" t="n">
        <x:v>0</x:v>
      </x:c>
      <x:c r="G79" s="10" t="n">
        <x:v>0</x:v>
      </x:c>
      <x:c r="H79" s="10" t="n">
        <x:v>1</x:v>
      </x:c>
      <x:c r="I79" s="10" t="n">
        <x:v>0</x:v>
      </x:c>
      <x:c r="J79" s="10" t="n">
        <x:v>1</x:v>
      </x:c>
      <x:c r="K79" s="10" t="n">
        <x:v>1</x:v>
      </x:c>
      <x:c r="L79" s="11" t="str">
        <x:v>https://www.jobtopgun.com/th/contact-us</x:v>
      </x:c>
      <x:c r="M79" s="11" t="str">
        <x:v>ผู้ให้บริการประกาศงาน; ยังไม่ยืนยันปริมาณ abuse</x:v>
      </x:c>
      <x:c r="N79" s="3" t="str">
        <x:v>2026-09-25</x:v>
      </x:c>
    </x:row>
    <x:row r="80" ht="46" customHeight="1">
      <x:c r="A80" s="3" t="str">
        <x:v>P05</x:v>
      </x:c>
      <x:c r="B80" s="11" t="str">
        <x:v>WorkVenture</x:v>
      </x:c>
      <x:c r="C80" s="11" t="str">
        <x:v>Job / gig platform group</x:v>
      </x:c>
      <x:c r="D80" s="10" t="n">
        <x:v>0</x:v>
      </x:c>
      <x:c r="E80" s="10" t="n">
        <x:v>0</x:v>
      </x:c>
      <x:c r="F80" s="10" t="n">
        <x:v>0</x:v>
      </x:c>
      <x:c r="G80" s="10" t="n">
        <x:v>0</x:v>
      </x:c>
      <x:c r="H80" s="10" t="n">
        <x:v>1</x:v>
      </x:c>
      <x:c r="I80" s="10" t="n">
        <x:v>0</x:v>
      </x:c>
      <x:c r="J80" s="10" t="n">
        <x:v>1</x:v>
      </x:c>
      <x:c r="K80" s="10" t="n">
        <x:v>1</x:v>
      </x:c>
      <x:c r="L80" s="11" t="str">
        <x:v>https://www.workventure.com/en/aboutus</x:v>
      </x:c>
      <x:c r="M80" s="11" t="str">
        <x:v>แพลตฟอร์มงาน/นายจ้าง; ยังไม่ยืนยันปริมาณ abuse</x:v>
      </x:c>
      <x:c r="N80" s="3" t="str">
        <x:v>2026-09-25</x:v>
      </x:c>
    </x:row>
    <x:row r="81" ht="46" customHeight="1">
      <x:c r="A81" s="3" t="str">
        <x:v>P06</x:v>
      </x:c>
      <x:c r="B81" s="11" t="str">
        <x:v>Jobmyway</x:v>
      </x:c>
      <x:c r="C81" s="11" t="str">
        <x:v>Job / gig platform group</x:v>
      </x:c>
      <x:c r="D81" s="10" t="n">
        <x:v>0</x:v>
      </x:c>
      <x:c r="E81" s="10" t="n">
        <x:v>0</x:v>
      </x:c>
      <x:c r="F81" s="10" t="n">
        <x:v>0</x:v>
      </x:c>
      <x:c r="G81" s="10" t="n">
        <x:v>0</x:v>
      </x:c>
      <x:c r="H81" s="10" t="n">
        <x:v>1</x:v>
      </x:c>
      <x:c r="I81" s="10" t="n">
        <x:v>0</x:v>
      </x:c>
      <x:c r="J81" s="10" t="n">
        <x:v>0</x:v>
      </x:c>
      <x:c r="K81" s="10" t="n">
        <x:v>1</x:v>
      </x:c>
      <x:c r="L81" s="11" t="str">
        <x:v>https://www.jobmyway.com/</x:v>
      </x:c>
      <x:c r="M81" s="11" t="str">
        <x:v>ผู้ให้บริการประกาศงาน; ยังไม่ยืนยันงบ/ปริมาณ abuse</x:v>
      </x:c>
      <x:c r="N81" s="3" t="str">
        <x:v>2026-09-25</x:v>
      </x:c>
    </x:row>
    <x:row r="82" ht="46" customHeight="1">
      <x:c r="A82" s="3" t="str">
        <x:v>P07</x:v>
      </x:c>
      <x:c r="B82" s="11" t="str">
        <x:v>Daywork</x:v>
      </x:c>
      <x:c r="C82" s="11" t="str">
        <x:v>Job / gig platform group</x:v>
      </x:c>
      <x:c r="D82" s="10" t="n">
        <x:v>0</x:v>
      </x:c>
      <x:c r="E82" s="10" t="n">
        <x:v>0</x:v>
      </x:c>
      <x:c r="F82" s="10" t="n">
        <x:v>0</x:v>
      </x:c>
      <x:c r="G82" s="10" t="n">
        <x:v>0</x:v>
      </x:c>
      <x:c r="H82" s="10" t="n">
        <x:v>1</x:v>
      </x:c>
      <x:c r="I82" s="10" t="n">
        <x:v>1</x:v>
      </x:c>
      <x:c r="J82" s="10" t="n">
        <x:v>1</x:v>
      </x:c>
      <x:c r="K82" s="10" t="n">
        <x:v>1</x:v>
      </x:c>
      <x:c r="L82" s="11" t="str">
        <x:v>https://daywork.co/</x:v>
      </x:c>
      <x:c r="M82" s="11" t="str">
        <x:v>แพลตฟอร์มงาน; รูปแบบการจ้างต่างจากเว็บประกาศ</x:v>
      </x:c>
      <x:c r="N82" s="3" t="str">
        <x:v>2026-09-25</x:v>
      </x:c>
    </x:row>
    <x:row r="83" ht="46" customHeight="1">
      <x:c r="A83" s="3" t="str">
        <x:v>P08</x:v>
      </x:c>
      <x:c r="B83" s="11" t="str">
        <x:v>Fastwork</x:v>
      </x:c>
      <x:c r="C83" s="11" t="str">
        <x:v>Job / gig platform group</x:v>
      </x:c>
      <x:c r="D83" s="10" t="n">
        <x:v>0</x:v>
      </x:c>
      <x:c r="E83" s="10" t="n">
        <x:v>0</x:v>
      </x:c>
      <x:c r="F83" s="10" t="n">
        <x:v>0</x:v>
      </x:c>
      <x:c r="G83" s="10" t="n">
        <x:v>0</x:v>
      </x:c>
      <x:c r="H83" s="10" t="n">
        <x:v>1</x:v>
      </x:c>
      <x:c r="I83" s="10" t="n">
        <x:v>0</x:v>
      </x:c>
      <x:c r="J83" s="10" t="n">
        <x:v>0</x:v>
      </x:c>
      <x:c r="K83" s="10" t="n">
        <x:v>1</x:v>
      </x:c>
      <x:c r="L83" s="11" t="str">
        <x:v>https://fastwork.co/fastwork-expo</x:v>
      </x:c>
      <x:c r="M83" s="11" t="str">
        <x:v>งานฟรีแลนซ์/ประกาศจ้าง; กลไกคุ้มครองการจ่ายเงินเป็นวิธีทดแทน</x:v>
      </x:c>
      <x:c r="N83" s="3" t="str">
        <x:v>2026-09-25</x:v>
      </x:c>
    </x:row>
    <x:row r="84" ht="46" customHeight="1">
      <x:c r="A84" s="3" t="str">
        <x:v>P09</x:v>
      </x:c>
      <x:c r="B84" s="11" t="str">
        <x:v>GetLinks</x:v>
      </x:c>
      <x:c r="C84" s="11" t="str">
        <x:v>Job / gig platform group</x:v>
      </x:c>
      <x:c r="D84" s="10" t="n">
        <x:v>0</x:v>
      </x:c>
      <x:c r="E84" s="10" t="n">
        <x:v>0</x:v>
      </x:c>
      <x:c r="F84" s="10" t="n">
        <x:v>0</x:v>
      </x:c>
      <x:c r="G84" s="10" t="n">
        <x:v>0</x:v>
      </x:c>
      <x:c r="H84" s="10" t="n">
        <x:v>1</x:v>
      </x:c>
      <x:c r="I84" s="10" t="n">
        <x:v>0</x:v>
      </x:c>
      <x:c r="J84" s="10" t="n">
        <x:v>0</x:v>
      </x:c>
      <x:c r="K84" s="10" t="n">
        <x:v>1</x:v>
      </x:c>
      <x:c r="L84" s="11" t="str">
        <x:v>https://getlinks.com/en/about</x:v>
      </x:c>
      <x:c r="M84" s="11" t="str">
        <x:v>แพลตฟอร์ม talent หลายประเทศ; งบรวมยังไม่ทราบ</x:v>
      </x:c>
      <x:c r="N84" s="3" t="str">
        <x:v>2026-09-25</x:v>
      </x:c>
    </x:row>
    <x:row r="85" ht="23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</x:row>
    <x:row r="86" ht="23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</x:row>
  </x:sheetData>
  <x:dataValidations count="1">
    <x:dataValidation type="whole" operator="between" sqref="D8:K84">
      <x:formula1>0</x:formula1>
      <x:formula2>1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52" hidden="0" customWidth="1"/>
    <x:col min="3" max="3" width="78" hidden="0" customWidth="1"/>
    <x:col min="4" max="4" width="23" hidden="0" customWidth="1"/>
    <x:col min="5" max="5" width="23" hidden="0" customWidth="1"/>
    <x:col min="6" max="6" width="65" hidden="0" customWidth="1"/>
    <x:col min="7" max="7" width="65" hidden="0" customWidth="1"/>
    <x:col min="8" max="8" width="18" hidden="0" customWidth="1"/>
    <x:col min="9" max="9" width="30" hidden="0" customWidth="1"/>
    <x:col min="10" max="10" width="30" hidden="0" customWidth="1"/>
  </x:cols>
  <x:sheetData>
    <x:row r="1" ht="23" customHeight="1">
      <x:c r="A1" s="6" t="str">
        <x:v>แหล่งอ้างอิงและขอบเขตหลักฐาน</x:v>
      </x:c>
      <x:c r="B1" s="6"/>
      <x:c r="C1" s="6"/>
      <x:c r="D1" s="6"/>
      <x:c r="E1" s="6"/>
      <x:c r="F1" s="6"/>
      <x:c r="G1" s="6"/>
      <x:c r="H1" s="3"/>
      <x:c r="I1" s="3"/>
      <x:c r="J1" s="3"/>
    </x:row>
    <x:row r="2" ht="23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23" customHeight="1">
      <x:c r="A3" s="3" t="str">
        <x:v>ตัวเลขผู้ซื้อผ่านเกณฑ์ ราคา conversion ต้นทุน และเวลาใน Inputs เป็นสมมติฐาน ไม่ได้มาจากราคาคู่แข่ง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23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23" customHeight="1">
      <x:c r="A6" s="7" t="str">
        <x:v>ID</x:v>
      </x:c>
      <x:c r="B6" s="7" t="str">
        <x:v>แหล่ง</x:v>
      </x:c>
      <x:c r="C6" s="7" t="str">
        <x:v>URL</x:v>
      </x:c>
      <x:c r="D6" s="7" t="str">
        <x:v>เผยแพร่/ปรับปรุง</x:v>
      </x:c>
      <x:c r="E6" s="7" t="str">
        <x:v>เข้าถึง</x:v>
      </x:c>
      <x:c r="F6" s="7" t="str">
        <x:v>สิ่งที่รองรับ</x:v>
      </x:c>
      <x:c r="G6" s="7" t="str">
        <x:v>ข้อจำกัด</x:v>
      </x:c>
      <x:c r="H6" s="3"/>
      <x:c r="I6" s="3"/>
      <x:c r="J6" s="3"/>
    </x:row>
    <x:row r="7" ht="64" customHeight="1">
      <x:c r="A7" s="3" t="str">
        <x:v>E01</x:v>
      </x:c>
      <x:c r="B7" s="11" t="str">
        <x:v>ธปท. ทะเบียนผู้ประกอบธุรกิจภายใต้ พ.ร.บ. ระบบการชำระเงิน</x:v>
      </x:c>
      <x:c r="C7" s="11" t="str">
        <x:v>https://www.bot.or.th/th/our-roles/payment-systems/payment-act-oversight/business-provider.html</x:v>
      </x:c>
      <x:c r="D7" s="11" t="str">
        <x:v>ไม่ระบุ</x:v>
      </x:c>
      <x:c r="E7" s="11" t="str">
        <x:v>2026-09-25</x:v>
      </x:c>
      <x:c r="F7" s="11" t="str">
        <x:v>ตารางปัจจุบัน 341 แถวบริการ 143 ชื่อองค์กร; ชื่อธนาคาร 35 ราย และ e-Money 40 ราย ซ้ำกัน 7 ราย รวม 68 ชื่อ</x:v>
      </x:c>
      <x:c r="G7" s="11" t="str">
        <x:v>นับชื่อในทะเบียนนี้ ไม่ใช่ธนาคารทั้งหมดหรือผู้ซื้อ 68 ราย; ไม่รวม e-Money วงจำกัด 3 แถว; ตารางยกเลิก/เปลี่ยนชื่อแยกออก</x:v>
      </x:c>
      <x:c r="H7" s="3"/>
      <x:c r="I7" s="3"/>
      <x:c r="J7" s="3"/>
    </x:row>
    <x:row r="8" ht="64" customHeight="1">
      <x:c r="A8" s="3" t="str">
        <x:v>E02</x:v>
      </x:c>
      <x:c r="B8" s="11" t="str">
        <x:v>Flagright Case Management</x:v>
      </x:c>
      <x:c r="C8" s="11" t="str">
        <x:v>https://www.flagright.com/case-management</x:v>
      </x:c>
      <x:c r="D8" s="11" t="str">
        <x:v>ไม่ระบุ</x:v>
      </x:c>
      <x:c r="E8" s="11" t="str">
        <x:v>2026-09-25</x:v>
      </x:c>
      <x:c r="F8" s="11" t="str">
        <x:v>เสนอการรวมหลักฐาน จัดการเอกสาร ส่งต่อเคส และบันทึกการตรวจสอบ</x:v>
      </x:c>
      <x:c r="G8" s="11" t="str">
        <x:v>ข้อมูลผู้ขาย; ไม่ใช้ตัวเลขผลสำเร็จทางการตลาด; ไม่พบราคาตัวเงินสาธารณะในการค้นครั้งนี้</x:v>
      </x:c>
      <x:c r="H8" s="3"/>
      <x:c r="I8" s="3"/>
      <x:c r="J8" s="3"/>
    </x:row>
    <x:row r="9" ht="64" customHeight="1">
      <x:c r="A9" s="3" t="str">
        <x:v>E03</x:v>
      </x:c>
      <x:c r="B9" s="11" t="str">
        <x:v>Tookitaki Financial Crime Platform</x:v>
      </x:c>
      <x:c r="C9" s="11" t="str">
        <x:v>https://www.tookitaki.com/</x:v>
      </x:c>
      <x:c r="D9" s="11" t="str">
        <x:v>ไม่ระบุ</x:v>
      </x:c>
      <x:c r="E9" s="11" t="str">
        <x:v>2026-09-25</x:v>
      </x:c>
      <x:c r="F9" s="11" t="str">
        <x:v>มีระบบตรวจธุรกรรมและจัดการเคส</x:v>
      </x:c>
      <x:c r="G9" s="11" t="str">
        <x:v>ต้องเชื่อมข้อมูลขององค์กร; ไม่พบราคาเปิดเผยในการค้นครั้งนี้</x:v>
      </x:c>
      <x:c r="H9" s="3"/>
      <x:c r="I9" s="3"/>
      <x:c r="J9" s="3"/>
    </x:row>
    <x:row r="10" ht="64" customHeight="1">
      <x:c r="A10" s="3" t="str">
        <x:v>E04</x:v>
      </x:c>
      <x:c r="B10" s="11" t="str">
        <x:v>Zendesk Pricing</x:v>
      </x:c>
      <x:c r="C10" s="11" t="str">
        <x:v>https://www.zendesk.kr/pricing/</x:v>
      </x:c>
      <x:c r="D10" s="11" t="str">
        <x:v>ไม่ระบุ</x:v>
      </x:c>
      <x:c r="E10" s="11" t="str">
        <x:v>2026-09-25</x:v>
      </x:c>
      <x:c r="F10" s="11" t="str">
        <x:v>ราคาแสดง USD ต่อเจ้าหน้าที่ต่อเดือนเมื่อชำระรายปี: Support Team 19, Suite Team 55, Suite Professional 115</x:v>
      </x:c>
      <x:c r="G10" s="11" t="str">
        <x:v>หน้า .com เปลี่ยนไปหน้าภาษาเกาหลี; ราคาแพ็กเกจไม่รวมต้นทุนปรับงาน/ส่วนเสริมทั้งหมด; ไม่ใช่ราคาเครื่องมือบัญชีม้า</x:v>
      </x:c>
      <x:c r="H10" s="3"/>
      <x:c r="I10" s="3"/>
      <x:c r="J10" s="3"/>
    </x:row>
    <x:row r="11" ht="64" customHeight="1">
      <x:c r="A11" s="3" t="str">
        <x:v>E05</x:v>
      </x:c>
      <x:c r="B11" s="11" t="str">
        <x:v>Sumsub Pricing</x:v>
      </x:c>
      <x:c r="C11" s="11" t="str">
        <x:v>https://sumsub.com/pricing/</x:v>
      </x:c>
      <x:c r="D11" s="11" t="str">
        <x:v>ไม่ระบุ</x:v>
      </x:c>
      <x:c r="E11" s="11" t="str">
        <x:v>2026-09-25</x:v>
      </x:c>
      <x:c r="F11" s="11" t="str">
        <x:v>Basic USD 1.35 ต่อ verification ขั้นต่ำ 149/เดือน; Compliance 1.85 ขั้นต่ำ 299/เดือน</x:v>
      </x:c>
      <x:c r="G11" s="11" t="str">
        <x:v>ราคา verification ไม่ใช่ราคา transaction monitoring หรือหลักฐาน WTP ของลูกค้าไทย</x:v>
      </x:c>
      <x:c r="H11" s="3"/>
      <x:c r="I11" s="3"/>
      <x:c r="J11" s="3"/>
    </x:row>
    <x:row r="12" ht="64" customHeight="1">
      <x:c r="A12" s="3" t="str">
        <x:v>E06</x:v>
      </x:c>
      <x:c r="B12" s="11" t="str">
        <x:v>Checkstep Content Moderation</x:v>
      </x:c>
      <x:c r="C12" s="11" t="str">
        <x:v>https://www.checkstep.com/</x:v>
      </x:c>
      <x:c r="D12" s="11" t="str">
        <x:v>ไม่ระบุ</x:v>
      </x:c>
      <x:c r="E12" s="11" t="str">
        <x:v>2026-09-25</x:v>
      </x:c>
      <x:c r="F12" s="11" t="str">
        <x:v>เสนอการสแกนเนื้อหา ตั้งนโยบาย และคิวตรวจโดยมนุษย์ผ่าน API/ระบบงาน</x:v>
      </x:c>
      <x:c r="G12" s="11" t="str">
        <x:v>ไม่ใช้เปอร์เซ็นต์โฆษณาเป็นผลทดลองอิสระ; ไม่พบราคาตัวเงินสาธารณะ</x:v>
      </x:c>
      <x:c r="H12" s="3"/>
      <x:c r="I12" s="3"/>
      <x:c r="J12" s="3"/>
    </x:row>
    <x:row r="13" ht="64" customHeight="1">
      <x:c r="A13" s="3" t="str">
        <x:v>E07</x:v>
      </x:c>
      <x:c r="B13" s="11" t="str">
        <x:v>SEEK Sustainability Report 2024</x:v>
      </x:c>
      <x:c r="C13" s="11" t="str">
        <x:v>https://www.seek.com.au/content/media/SEK-2024-Sustainability-Report.pdf</x:v>
      </x:c>
      <x:c r="D13" s="11" t="str">
        <x:v>ไม่ระบุ</x:v>
      </x:c>
      <x:c r="E13" s="11" t="str">
        <x:v>2026-09-25</x:v>
      </x:c>
      <x:c r="F13" s="11" t="str">
        <x:v>หน้า 9 ระบุ rollout SIFT สแกนประกาศด้วย AI/ML สู่เอเชีย และงาน Trust &amp; Safety</x:v>
      </x:c>
      <x:c r="G13" s="11" t="str">
        <x:v>ยืนยันมีการทำเอง ไม่ยืนยันตรวจการชวนเป็นบัญชีม้าไทยได้ดีเท่าใด</x:v>
      </x:c>
      <x:c r="H13" s="3"/>
      <x:c r="I13" s="3"/>
      <x:c r="J13" s="3"/>
    </x:row>
    <x:row r="14" ht="64" customHeight="1">
      <x:c r="A14" s="3" t="str">
        <x:v>E08</x:v>
      </x:c>
      <x:c r="B14" s="11" t="str">
        <x:v>RangersAI / ScamRanger</x:v>
      </x:c>
      <x:c r="C14" s="11" t="str">
        <x:v>https://www.rangersai.com/</x:v>
      </x:c>
      <x:c r="D14" s="11" t="str">
        <x:v>ไม่ระบุ</x:v>
      </x:c>
      <x:c r="E14" s="11" t="str">
        <x:v>2026-09-25</x:v>
      </x:c>
      <x:c r="F14" s="11" t="str">
        <x:v>เสนอเครื่องมือให้ลูกค้าส่งข้อความ/ภาพเพื่อตรวจความเสี่ยงและรับคำแนะนำ โดยขายผ่านสถาบันการเงิน</x:v>
      </x:c>
      <x:c r="G14" s="11" t="str">
        <x:v>ทับซ้อนแนวคิด C; คำรับรองผู้ใช้ไม่ใช่ controlled evaluation; ราคาองค์กรไม่เปิดเผย</x:v>
      </x:c>
      <x:c r="H14" s="3"/>
      <x:c r="I14" s="3"/>
      <x:c r="J14" s="3"/>
    </x:row>
    <x:row r="15" ht="64" customHeight="1">
      <x:c r="A15" s="3" t="str">
        <x:v>E09</x:v>
      </x:c>
      <x:c r="B15" s="11" t="str">
        <x:v>BioCatch Mule Account Detection</x:v>
      </x:c>
      <x:c r="C15" s="11" t="str">
        <x:v>https://www.biocatch.com/mule-account-detection</x:v>
      </x:c>
      <x:c r="D15" s="11" t="str">
        <x:v>ไม่ระบุ</x:v>
      </x:c>
      <x:c r="E15" s="11" t="str">
        <x:v>2026-09-25</x:v>
      </x:c>
      <x:c r="F15" s="11" t="str">
        <x:v>ใช้ข้อมูลพฤติกรรม อุปกรณ์ เครือข่าย และธุรกรรมประกอบการตรวจบัญชีม้า</x:v>
      </x:c>
      <x:c r="G15" s="11" t="str">
        <x:v>ไม่ใช่คู่เทียบที่ทีมทำได้ด้วยโพสต์สาธารณะ; ไม่ใช้ตัวเลขประสิทธิผลผู้ขายเป็นเป้าหมาย</x:v>
      </x:c>
      <x:c r="H15" s="3"/>
      <x:c r="I15" s="3"/>
      <x:c r="J15" s="3"/>
    </x:row>
    <x:row r="16" ht="64" customHeight="1">
      <x:c r="A16" s="3" t="str">
        <x:v>E10</x:v>
      </x:c>
      <x:c r="B16" s="11" t="str">
        <x:v>Helping Customers in Distress: An LLM-powered Agent that Converses, Probes, and Routes</x:v>
      </x:c>
      <x:c r="C16" s="11" t="str">
        <x:v>https://arxiv.org/abs/2605.16268v2</x:v>
      </x:c>
      <x:c r="D16" s="11" t="str">
        <x:v>2026-09-23</x:v>
      </x:c>
      <x:c r="E16" s="11" t="str">
        <x:v>2026-09-25</x:v>
      </x:c>
      <x:c r="F16" s="11" t="str">
        <x:v>บทคัดย่อเสนอ agent ซักถามและส่งต่อเรื่อง fraud/scam/dispute ใช้ข้อมูลประวัติและลูกค้าจำลองประเมิน</x:v>
      </x:c>
      <x:c r="G16" s="11" t="str">
        <x:v>อ่านบทคัดย่อ/metadata เท่านั้น; preprint ไม่ยืนยันผลใช้งานไทย; ไม่ถ่ายโอนตัวเลขผลการทดลอง</x:v>
      </x:c>
      <x:c r="H16" s="3"/>
      <x:c r="I16" s="3"/>
      <x:c r="J16" s="3"/>
    </x:row>
    <x:row r="17" ht="64" customHeight="1">
      <x:c r="A17" s="3" t="str">
        <x:v>E11</x:v>
      </x:c>
      <x:c r="B17" s="11" t="str">
        <x:v>BNM / PayNet National Fraud Portal</x:v>
      </x:c>
      <x:c r="C17" s="11" t="str">
        <x:v>https://www.bnm.gov.my/-/nfp-launch-bm</x:v>
      </x:c>
      <x:c r="D17" s="11" t="str">
        <x:v>2024-08-20</x:v>
      </x:c>
      <x:c r="E17" s="11" t="str">
        <x:v>2026-09-25</x:v>
      </x:c>
      <x:c r="F17" s="11" t="str">
        <x:v>เปิด NFP และกระบวนการจัดการบัญชีม้าร่วมอุตสาหกรรม รวมการเข้าถึงบริการการเงินพื้นฐาน</x:v>
      </x:c>
      <x:c r="G17" s="11" t="str">
        <x:v>ประกาศระบบ ไม่ใช่หลักฐานผลเชิงเหตุผล; ต้องตรวจสถานะ/ข้อกำหนดปัจจุบันก่อนขาย</x:v>
      </x:c>
      <x:c r="H17" s="3"/>
      <x:c r="I17" s="3"/>
      <x:c r="J17" s="3"/>
    </x:row>
    <x:row r="18" ht="64" customHeight="1">
      <x:c r="A18" s="3" t="str">
        <x:v>E12</x:v>
      </x:c>
      <x:c r="B18" s="11" t="str">
        <x:v>MAS Financial Institutions Directory</x:v>
      </x:c>
      <x:c r="C18" s="11" t="str">
        <x:v>https://eservices.mas.gov.sg/fid/institution?category=Major+Payment+Institution&amp;sector=Payments&amp;term=major+licence</x:v>
      </x:c>
      <x:c r="D18" s="11" t="str">
        <x:v>ไม่ระบุ</x:v>
      </x:c>
      <x:c r="E18" s="11" t="str">
        <x:v>2026-09-25</x:v>
      </x:c>
      <x:c r="F18" s="11" t="str">
        <x:v>หน้าค้น MPI คืน 244 ราย; activity account issuance 89 และ e-money 77</x:v>
      </x:c>
      <x:c r="G18" s="11" t="str">
        <x:v>หมวดกิจกรรมซ้อนกัน; เงื่อนไขการค้นมีผลต่อจำนวน; ไม่รวมตัวเลขนี้ใน TAM ไทยหรือถือเป็นผู้ซื้อพร้อมขาย</x:v>
      </x:c>
      <x:c r="H18" s="3"/>
      <x:c r="I18" s="3"/>
      <x:c r="J18" s="3"/>
    </x:row>
    <x:row r="19" ht="64" customHeight="1">
      <x:c r="A19" s="3" t="str">
        <x:v>E13</x:v>
      </x:c>
      <x:c r="B19" s="11" t="str">
        <x:v>BNM List of Regulatees</x:v>
      </x:c>
      <x:c r="C19" s="11" t="str">
        <x:v>https://www.bnm.gov.my/list-of-regulatees</x:v>
      </x:c>
      <x:c r="D19" s="11" t="str">
        <x:v>ไม่ระบุ</x:v>
      </x:c>
      <x:c r="E19" s="11" t="str">
        <x:v>2026-09-25</x:v>
      </x:c>
      <x:c r="F19" s="11" t="str">
        <x:v>แยกทะเบียน bank / non-bank e-Money</x:v>
      </x:c>
      <x:c r="G19" s="11" t="str">
        <x:v>ยังไม่ทำรายชื่อที่ผ่านเกณฑ์ผู้ซื้อและ deduplicate งบประมาณในมาเลเซีย จึงไม่ตีมูลค่าตลาด</x:v>
      </x:c>
      <x:c r="H19" s="3"/>
      <x:c r="I19" s="3"/>
      <x:c r="J19" s="3"/>
    </x:row>
    <x:row r="20" ht="64" customHeight="1">
      <x:c r="A20" s="3" t="str">
        <x:v>E14</x:v>
      </x:c>
      <x:c r="B20" s="11" t="str">
        <x:v>SEEK Developer multi-market support</x:v>
      </x:c>
      <x:c r="C20" s="11" t="str">
        <x:v>https://developer.seek.com/introduction</x:v>
      </x:c>
      <x:c r="D20" s="11" t="str">
        <x:v>ไม่ระบุ</x:v>
      </x:c>
      <x:c r="E20" s="11" t="str">
        <x:v>2026-09-25</x:v>
      </x:c>
      <x:c r="F20" s="11" t="str">
        <x:v>ระบุ Jobsdb ไทยและ Jobstreet มาเลเซีย/สิงคโปร์ใน SEEK Group</x:v>
      </x:c>
      <x:c r="G20" s="11" t="str">
        <x:v>นับเป็นหนึ่งกลุ่มการขายเพื่อหลีกเลี่ยงนับแบรนด์/ประเทศซ้ำ; ผู้อนุมัติงบจริงยังไม่ทราบ</x:v>
      </x:c>
      <x:c r="H20" s="3"/>
      <x:c r="I20" s="3"/>
      <x:c r="J20" s="3"/>
    </x:row>
    <x:row r="21" ht="64" customHeight="1">
      <x:c r="A21" s="3" t="str">
        <x:v>E15</x:v>
      </x:c>
      <x:c r="B21" s="11" t="str">
        <x:v>ETDA การเปิดเผยรายชื่อ DPS ผ่านทางรัฐ</x:v>
      </x:c>
      <x:c r="C21" s="11" t="str">
        <x:v>https://www.etda.or.th/th/pr-news/DPS_Tang_Rath.aspx?feed=cb66f430-5546-4dd8-b279-3827e88d154b</x:v>
      </x:c>
      <x:c r="D21" s="11" t="str">
        <x:v>ไม่ระบุ</x:v>
      </x:c>
      <x:c r="E21" s="11" t="str">
        <x:v>2026-09-25</x:v>
      </x:c>
      <x:c r="F21" s="11" t="str">
        <x:v>มีช่องทางค้นผู้ประกอบการแพลตฟอร์มที่แจ้งข้อมูล</x:v>
      </x:c>
      <x:c r="G21" s="11" t="str">
        <x:v>ไม่ได้ดึงทะเบียนครบตามหมวดงานจ้างในรอบนี้; ไม่ใช้ยอด DPS รวมแทนตลาดแพลตฟอร์มหางาน</x:v>
      </x:c>
      <x:c r="H21" s="3"/>
      <x:c r="I21" s="3"/>
      <x:c r="J21" s="3"/>
    </x:row>
    <x:row r="22" ht="64" customHeight="1">
      <x:c r="A22" s="3" t="str">
        <x:v>P01</x:v>
      </x:c>
      <x:c r="B22" s="11" t="str">
        <x:v>SEEK Group / Jobsdb TH</x:v>
      </x:c>
      <x:c r="C22" s="11" t="str">
        <x:v>https://developer.seek.com/introduction</x:v>
      </x:c>
      <x:c r="D22" s="11" t="str">
        <x:v>ไม่ระบุ</x:v>
      </x:c>
      <x:c r="E22" s="11" t="str">
        <x:v>2026-09-25</x:v>
      </x:c>
      <x:c r="F22" s="11" t="str">
        <x:v>พบว่ามีบริการตลาดงาน/การจ้างที่เกี่ยวข้องกับขอบเขตตั้งต้น</x:v>
      </x:c>
      <x:c r="G22" s="11" t="str">
        <x:v>กลุ่มเดียวกับ Jobstreet; มี SIFT อยู่แล้ว</x:v>
      </x:c>
      <x:c r="H22" s="3"/>
      <x:c r="I22" s="3"/>
      <x:c r="J22" s="3"/>
    </x:row>
    <x:row r="23" ht="64" customHeight="1">
      <x:c r="A23" s="3" t="str">
        <x:v>P02</x:v>
      </x:c>
      <x:c r="B23" s="11" t="str">
        <x:v>THiNKNET / JobThai</x:v>
      </x:c>
      <x:c r="C23" s="11" t="str">
        <x:v>https://www.jobthai.com/static/file/rate-card-th-11-11-68.pdf</x:v>
      </x:c>
      <x:c r="D23" s="11" t="str">
        <x:v>ไม่ระบุ</x:v>
      </x:c>
      <x:c r="E23" s="11" t="str">
        <x:v>2026-09-25</x:v>
      </x:c>
      <x:c r="F23" s="11" t="str">
        <x:v>พบว่ามีบริการตลาดงาน/การจ้างที่เกี่ยวข้องกับขอบเขตตั้งต้น</x:v>
      </x:c>
      <x:c r="G23" s="11" t="str">
        <x:v>ผู้ให้บริการประกาศงาน; ยังไม่ยืนยันปริมาณ abuse</x:v>
      </x:c>
      <x:c r="H23" s="3"/>
      <x:c r="I23" s="3"/>
      <x:c r="J23" s="3"/>
    </x:row>
    <x:row r="24" ht="64" customHeight="1">
      <x:c r="A24" s="3" t="str">
        <x:v>P03</x:v>
      </x:c>
      <x:c r="B24" s="11" t="str">
        <x:v>JOBBKK</x:v>
      </x:c>
      <x:c r="C24" s="11" t="str">
        <x:v>https://www.jobbkk.com/</x:v>
      </x:c>
      <x:c r="D24" s="11" t="str">
        <x:v>ไม่ระบุ</x:v>
      </x:c>
      <x:c r="E24" s="11" t="str">
        <x:v>2026-09-25</x:v>
      </x:c>
      <x:c r="F24" s="11" t="str">
        <x:v>พบว่ามีบริการตลาดงาน/การจ้างที่เกี่ยวข้องกับขอบเขตตั้งต้น</x:v>
      </x:c>
      <x:c r="G24" s="11" t="str">
        <x:v>ผู้ให้บริการประกาศงาน; ยังไม่ยืนยันปริมาณ abuse</x:v>
      </x:c>
      <x:c r="H24" s="3"/>
      <x:c r="I24" s="3"/>
      <x:c r="J24" s="3"/>
    </x:row>
    <x:row r="25" ht="64" customHeight="1">
      <x:c r="A25" s="3" t="str">
        <x:v>P04</x:v>
      </x:c>
      <x:c r="B25" s="11" t="str">
        <x:v>TOPGUN / JOBTOPGUN</x:v>
      </x:c>
      <x:c r="C25" s="11" t="str">
        <x:v>https://www.jobtopgun.com/th/contact-us</x:v>
      </x:c>
      <x:c r="D25" s="11" t="str">
        <x:v>ไม่ระบุ</x:v>
      </x:c>
      <x:c r="E25" s="11" t="str">
        <x:v>2026-09-25</x:v>
      </x:c>
      <x:c r="F25" s="11" t="str">
        <x:v>พบว่ามีบริการตลาดงาน/การจ้างที่เกี่ยวข้องกับขอบเขตตั้งต้น</x:v>
      </x:c>
      <x:c r="G25" s="11" t="str">
        <x:v>ผู้ให้บริการประกาศงาน; ยังไม่ยืนยันปริมาณ abuse</x:v>
      </x:c>
      <x:c r="H25" s="3"/>
      <x:c r="I25" s="3"/>
      <x:c r="J25" s="3"/>
    </x:row>
    <x:row r="26" ht="64" customHeight="1">
      <x:c r="A26" s="3" t="str">
        <x:v>P05</x:v>
      </x:c>
      <x:c r="B26" s="11" t="str">
        <x:v>WorkVenture</x:v>
      </x:c>
      <x:c r="C26" s="11" t="str">
        <x:v>https://www.workventure.com/en/aboutus</x:v>
      </x:c>
      <x:c r="D26" s="11" t="str">
        <x:v>ไม่ระบุ</x:v>
      </x:c>
      <x:c r="E26" s="11" t="str">
        <x:v>2026-09-25</x:v>
      </x:c>
      <x:c r="F26" s="11" t="str">
        <x:v>พบว่ามีบริการตลาดงาน/การจ้างที่เกี่ยวข้องกับขอบเขตตั้งต้น</x:v>
      </x:c>
      <x:c r="G26" s="11" t="str">
        <x:v>แพลตฟอร์มงาน/นายจ้าง; ยังไม่ยืนยันปริมาณ abuse</x:v>
      </x:c>
      <x:c r="H26" s="3"/>
      <x:c r="I26" s="3"/>
      <x:c r="J26" s="3"/>
    </x:row>
    <x:row r="27" ht="64" customHeight="1">
      <x:c r="A27" s="3" t="str">
        <x:v>P06</x:v>
      </x:c>
      <x:c r="B27" s="11" t="str">
        <x:v>Jobmyway</x:v>
      </x:c>
      <x:c r="C27" s="11" t="str">
        <x:v>https://www.jobmyway.com/</x:v>
      </x:c>
      <x:c r="D27" s="11" t="str">
        <x:v>ไม่ระบุ</x:v>
      </x:c>
      <x:c r="E27" s="11" t="str">
        <x:v>2026-09-25</x:v>
      </x:c>
      <x:c r="F27" s="11" t="str">
        <x:v>พบว่ามีบริการตลาดงาน/การจ้างที่เกี่ยวข้องกับขอบเขตตั้งต้น</x:v>
      </x:c>
      <x:c r="G27" s="11" t="str">
        <x:v>ผู้ให้บริการประกาศงาน; ยังไม่ยืนยันงบ/ปริมาณ abuse</x:v>
      </x:c>
      <x:c r="H27" s="3"/>
      <x:c r="I27" s="3"/>
      <x:c r="J27" s="3"/>
    </x:row>
    <x:row r="28" ht="64" customHeight="1">
      <x:c r="A28" s="3" t="str">
        <x:v>P07</x:v>
      </x:c>
      <x:c r="B28" s="11" t="str">
        <x:v>Daywork</x:v>
      </x:c>
      <x:c r="C28" s="11" t="str">
        <x:v>https://daywork.co/</x:v>
      </x:c>
      <x:c r="D28" s="11" t="str">
        <x:v>ไม่ระบุ</x:v>
      </x:c>
      <x:c r="E28" s="11" t="str">
        <x:v>2026-09-25</x:v>
      </x:c>
      <x:c r="F28" s="11" t="str">
        <x:v>พบว่ามีบริการตลาดงาน/การจ้างที่เกี่ยวข้องกับขอบเขตตั้งต้น</x:v>
      </x:c>
      <x:c r="G28" s="11" t="str">
        <x:v>แพลตฟอร์มงาน; รูปแบบการจ้างต่างจากเว็บประกาศ</x:v>
      </x:c>
      <x:c r="H28" s="3"/>
      <x:c r="I28" s="3"/>
      <x:c r="J28" s="3"/>
    </x:row>
    <x:row r="29" ht="64" customHeight="1">
      <x:c r="A29" s="3" t="str">
        <x:v>P08</x:v>
      </x:c>
      <x:c r="B29" s="11" t="str">
        <x:v>Fastwork</x:v>
      </x:c>
      <x:c r="C29" s="11" t="str">
        <x:v>https://fastwork.co/fastwork-expo</x:v>
      </x:c>
      <x:c r="D29" s="11" t="str">
        <x:v>ไม่ระบุ</x:v>
      </x:c>
      <x:c r="E29" s="11" t="str">
        <x:v>2026-09-25</x:v>
      </x:c>
      <x:c r="F29" s="11" t="str">
        <x:v>พบว่ามีบริการตลาดงาน/การจ้างที่เกี่ยวข้องกับขอบเขตตั้งต้น</x:v>
      </x:c>
      <x:c r="G29" s="11" t="str">
        <x:v>งานฟรีแลนซ์/ประกาศจ้าง; กลไกคุ้มครองการจ่ายเงินเป็นวิธีทดแทน</x:v>
      </x:c>
      <x:c r="H29" s="3"/>
      <x:c r="I29" s="3"/>
      <x:c r="J29" s="3"/>
    </x:row>
    <x:row r="30" ht="64" customHeight="1">
      <x:c r="A30" s="3" t="str">
        <x:v>P09</x:v>
      </x:c>
      <x:c r="B30" s="11" t="str">
        <x:v>GetLinks</x:v>
      </x:c>
      <x:c r="C30" s="11" t="str">
        <x:v>https://getlinks.com/en/about</x:v>
      </x:c>
      <x:c r="D30" s="11" t="str">
        <x:v>ไม่ระบุ</x:v>
      </x:c>
      <x:c r="E30" s="11" t="str">
        <x:v>2026-09-25</x:v>
      </x:c>
      <x:c r="F30" s="11" t="str">
        <x:v>พบว่ามีบริการตลาดงาน/การจ้างที่เกี่ยวข้องกับขอบเขตตั้งต้น</x:v>
      </x:c>
      <x:c r="G30" s="11" t="str">
        <x:v>แพลตฟอร์ม talent หลายประเทศ; งบรวมยังไม่ทราบ</x:v>
      </x:c>
      <x:c r="H30" s="3"/>
      <x:c r="I30" s="3"/>
      <x:c r="J30" s="3"/>
    </x:row>
    <x:row r="31" ht="23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</x:row>
    <x:row r="32" ht="23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</x:sheetData>
  <x:pageMargins left="0.7" right="0.7" top="0.75" bottom="0.75" header="0.3" footer="0.3"/>
</x:worksheet>
</file>